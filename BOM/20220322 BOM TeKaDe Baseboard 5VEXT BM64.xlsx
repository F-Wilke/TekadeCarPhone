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C7854631-05DF-4736-B561-3A64298D75F5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Vollständig" sheetId="1" r:id="rId1"/>
    <sheet name="An Fertiger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5" i="1" l="1"/>
  <c r="O75" i="1"/>
  <c r="P49" i="1" l="1"/>
  <c r="O49" i="1"/>
  <c r="P66" i="1"/>
  <c r="O66" i="1"/>
  <c r="P65" i="1" l="1"/>
  <c r="O65" i="1"/>
  <c r="P41" i="1" l="1"/>
  <c r="O41" i="1"/>
  <c r="O11" i="1" l="1"/>
  <c r="P11" i="1"/>
  <c r="O28" i="1"/>
  <c r="P28" i="1"/>
  <c r="O29" i="1"/>
  <c r="P29" i="1"/>
  <c r="O48" i="1"/>
  <c r="P48" i="1"/>
  <c r="O69" i="1"/>
  <c r="P69" i="1"/>
  <c r="O76" i="1"/>
  <c r="P76" i="1"/>
  <c r="O77" i="1"/>
  <c r="P77" i="1"/>
  <c r="P39" i="1"/>
  <c r="P40" i="1"/>
  <c r="P42" i="1"/>
  <c r="P43" i="1"/>
  <c r="P44" i="1"/>
  <c r="P45" i="1"/>
  <c r="P46" i="1"/>
  <c r="P47" i="1"/>
  <c r="P50" i="1"/>
  <c r="P52" i="1"/>
  <c r="P53" i="1"/>
  <c r="P54" i="1"/>
  <c r="P55" i="1"/>
  <c r="P56" i="1"/>
  <c r="P57" i="1"/>
  <c r="P58" i="1"/>
  <c r="P59" i="1"/>
  <c r="P60" i="1"/>
  <c r="P62" i="1"/>
  <c r="P63" i="1"/>
  <c r="P68" i="1"/>
  <c r="P70" i="1"/>
  <c r="P71" i="1"/>
  <c r="P72" i="1"/>
  <c r="P73" i="1"/>
  <c r="P74" i="1"/>
  <c r="O39" i="1"/>
  <c r="O40" i="1"/>
  <c r="O42" i="1"/>
  <c r="O43" i="1"/>
  <c r="O44" i="1"/>
  <c r="O45" i="1"/>
  <c r="O46" i="1"/>
  <c r="O47" i="1"/>
  <c r="O50" i="1"/>
  <c r="O52" i="1"/>
  <c r="O53" i="1"/>
  <c r="O54" i="1"/>
  <c r="O55" i="1"/>
  <c r="O56" i="1"/>
  <c r="O57" i="1"/>
  <c r="O58" i="1"/>
  <c r="O59" i="1"/>
  <c r="O60" i="1"/>
  <c r="O62" i="1"/>
  <c r="O63" i="1"/>
  <c r="O68" i="1"/>
  <c r="O70" i="1"/>
  <c r="O71" i="1"/>
  <c r="O72" i="1"/>
  <c r="O73" i="1"/>
  <c r="O74" i="1"/>
  <c r="P4" i="1"/>
  <c r="P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30" i="1"/>
  <c r="P31" i="1"/>
  <c r="P32" i="1"/>
  <c r="P33" i="1"/>
  <c r="P34" i="1"/>
  <c r="P35" i="1"/>
  <c r="P36" i="1"/>
  <c r="P37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0" i="1"/>
  <c r="O31" i="1"/>
  <c r="O32" i="1"/>
  <c r="O33" i="1"/>
  <c r="O34" i="1"/>
  <c r="O35" i="1"/>
  <c r="O36" i="1"/>
  <c r="O37" i="1"/>
  <c r="P3" i="1"/>
  <c r="O3" i="1"/>
  <c r="O80" i="1" l="1"/>
  <c r="P80" i="1"/>
</calcChain>
</file>

<file path=xl/sharedStrings.xml><?xml version="1.0" encoding="utf-8"?>
<sst xmlns="http://schemas.openxmlformats.org/spreadsheetml/2006/main" count="792" uniqueCount="371">
  <si>
    <t>Gesamtpreis</t>
  </si>
  <si>
    <t>L1</t>
  </si>
  <si>
    <t>L2</t>
  </si>
  <si>
    <t>R3</t>
  </si>
  <si>
    <t>MOUSER</t>
  </si>
  <si>
    <t>Artikelnr</t>
  </si>
  <si>
    <t>10er Preis</t>
  </si>
  <si>
    <t>1000er Preis</t>
  </si>
  <si>
    <t>10er</t>
  </si>
  <si>
    <t>1000er</t>
  </si>
  <si>
    <t>150060VS75000</t>
  </si>
  <si>
    <t>150060RS75000</t>
  </si>
  <si>
    <t>U1</t>
  </si>
  <si>
    <t>J3</t>
  </si>
  <si>
    <t>J5</t>
  </si>
  <si>
    <t>0R</t>
  </si>
  <si>
    <t>C20</t>
  </si>
  <si>
    <t>Item</t>
  </si>
  <si>
    <t>Qty</t>
  </si>
  <si>
    <t>Reference</t>
  </si>
  <si>
    <t>Mfr P/N</t>
  </si>
  <si>
    <t>Mfr</t>
  </si>
  <si>
    <t>Description</t>
  </si>
  <si>
    <t>Case</t>
  </si>
  <si>
    <t>Yageo</t>
  </si>
  <si>
    <t>KEMET</t>
  </si>
  <si>
    <t>Wurth Elektronik</t>
  </si>
  <si>
    <t>Taiyo Yuden</t>
  </si>
  <si>
    <t>Vishay</t>
  </si>
  <si>
    <t>Panasonic</t>
  </si>
  <si>
    <t>TI</t>
  </si>
  <si>
    <t>Infineon</t>
  </si>
  <si>
    <t>J2</t>
  </si>
  <si>
    <t>J4</t>
  </si>
  <si>
    <t>Phoenix Contact</t>
  </si>
  <si>
    <t>Nexperia</t>
  </si>
  <si>
    <t>Samsung</t>
  </si>
  <si>
    <t>TDK</t>
  </si>
  <si>
    <t>ACM1211-102-2PL-TL01</t>
  </si>
  <si>
    <t>810-ACM12111022PLTL1</t>
  </si>
  <si>
    <t>11x12mm</t>
  </si>
  <si>
    <t>CMF 1kOhm / 14mOhm / 6A</t>
  </si>
  <si>
    <t>Available</t>
  </si>
  <si>
    <t>Q1</t>
  </si>
  <si>
    <t>SOT-23-5</t>
  </si>
  <si>
    <t>Q2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</si>
  <si>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</si>
  <si>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</si>
  <si>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</si>
  <si>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</si>
  <si>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</si>
  <si>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</si>
  <si>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</si>
  <si>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</si>
  <si>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</si>
  <si>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</si>
  <si>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>798-DF40HC30100DS451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</si>
  <si>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</si>
  <si>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</si>
  <si>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</si>
  <si>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</si>
  <si>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</si>
  <si>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</si>
  <si>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</si>
  <si>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</si>
  <si>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</si>
  <si>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</si>
  <si>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</si>
  <si>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</si>
  <si>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</si>
  <si>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</si>
  <si>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</si>
  <si>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</si>
  <si>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</si>
  <si>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</si>
  <si>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</si>
  <si>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</si>
  <si>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</si>
  <si>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</si>
  <si>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649-68683-315LF</t>
  </si>
  <si>
    <t>68683-315LF</t>
  </si>
  <si>
    <t>Amphenol FCI</t>
  </si>
  <si>
    <t>BSS314PEH6327XTSA1</t>
  </si>
  <si>
    <t>SOT-23-3</t>
  </si>
  <si>
    <t>726-BSS314PEH6327XTS</t>
  </si>
  <si>
    <t>Qualification</t>
  </si>
  <si>
    <t>AEC-Q101</t>
  </si>
  <si>
    <t>NA</t>
  </si>
  <si>
    <t>C6-C9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</si>
  <si>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</si>
  <si>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</si>
  <si>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</si>
  <si>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</si>
  <si>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</si>
  <si>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</si>
  <si>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Ferrit/470R/1A/0,2R</t>
  </si>
  <si>
    <t>MAX98089ETN+</t>
  </si>
  <si>
    <t>SN74LV1T126</t>
  </si>
  <si>
    <t>Y1</t>
  </si>
  <si>
    <t>2Pin 1.6x1.0mm</t>
  </si>
  <si>
    <t>NTC/100k/1%/4250–4299K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</si>
  <si>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</si>
  <si>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</si>
  <si>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</si>
  <si>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</si>
  <si>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</si>
  <si>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</si>
  <si>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</si>
  <si>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</si>
  <si>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SMB</t>
  </si>
  <si>
    <t>SOD-123F</t>
  </si>
  <si>
    <t>R14</t>
  </si>
  <si>
    <t>R15</t>
  </si>
  <si>
    <t>R23</t>
  </si>
  <si>
    <t>R46</t>
  </si>
  <si>
    <t>R47</t>
  </si>
  <si>
    <t>R48</t>
  </si>
  <si>
    <t>TH1</t>
  </si>
  <si>
    <t>R6-R11, R13</t>
  </si>
  <si>
    <t>R40-R43</t>
  </si>
  <si>
    <t>R31-R34</t>
  </si>
  <si>
    <t>R1, R2, R4, R5</t>
  </si>
  <si>
    <t>R35, R36, R38</t>
  </si>
  <si>
    <t>U10-U13</t>
  </si>
  <si>
    <t>U15, U16</t>
  </si>
  <si>
    <t>U8</t>
  </si>
  <si>
    <t>U9</t>
  </si>
  <si>
    <t>U14</t>
  </si>
  <si>
    <t>U17</t>
  </si>
  <si>
    <t>U18</t>
  </si>
  <si>
    <t>D1, D3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</si>
  <si>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</si>
  <si>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</si>
  <si>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</si>
  <si>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</si>
  <si>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</si>
  <si>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</si>
  <si>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</si>
  <si>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</si>
  <si>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</si>
  <si>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</si>
  <si>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</si>
  <si>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</si>
  <si>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</si>
  <si>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</si>
  <si>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</si>
  <si>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</si>
  <si>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</si>
  <si>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</si>
  <si>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RTC</t>
  </si>
  <si>
    <t>68683-308LF</t>
  </si>
  <si>
    <t>649-68683-308LF</t>
  </si>
  <si>
    <t>U15, U16 alternative</t>
  </si>
  <si>
    <t>771-BAT54C-T/R</t>
  </si>
  <si>
    <t>BAT54C,215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</si>
  <si>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</si>
  <si>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</si>
  <si>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</si>
  <si>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</si>
  <si>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</si>
  <si>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</si>
  <si>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</si>
  <si>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</si>
  <si>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</si>
  <si>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53048-0250</t>
  </si>
  <si>
    <t>Molex</t>
  </si>
  <si>
    <t>PicoBlade</t>
  </si>
  <si>
    <t>538-53048-0250</t>
  </si>
  <si>
    <t>53048-0350</t>
  </si>
  <si>
    <t>538-53048-0350</t>
  </si>
  <si>
    <t>6,6mm incl. CM4</t>
  </si>
  <si>
    <t>2,5mm</t>
  </si>
  <si>
    <t>Height</t>
  </si>
  <si>
    <t>6mm</t>
  </si>
  <si>
    <t>2,1mm</t>
  </si>
  <si>
    <t>7mm</t>
  </si>
  <si>
    <t>3,5mm</t>
  </si>
  <si>
    <t>MINI50</t>
  </si>
  <si>
    <t>J1</t>
  </si>
  <si>
    <t>Lock HOR 3 CKT 1 ROW P1,25</t>
  </si>
  <si>
    <t>Signal HOR 2 CKT 1 ROW P1,25</t>
  </si>
  <si>
    <t>Pinsocket VERT 30 CKT 2 ROW P2,54</t>
  </si>
  <si>
    <t>Pinsocket VERT 16 CKT 2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</si>
  <si>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</si>
  <si>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</si>
  <si>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</si>
  <si>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</si>
  <si>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</si>
  <si>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</si>
  <si>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</si>
  <si>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</si>
  <si>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</si>
  <si>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R37, R39, R49</t>
  </si>
  <si>
    <t>J8</t>
  </si>
  <si>
    <t>C1</t>
  </si>
  <si>
    <t>C35, C36</t>
  </si>
  <si>
    <t>D5, D6, D15</t>
  </si>
  <si>
    <t>D12, D13</t>
  </si>
  <si>
    <t>Zener 12V 100mA</t>
  </si>
  <si>
    <t>R12</t>
  </si>
  <si>
    <t>R16, R19</t>
  </si>
  <si>
    <t>R24, R26</t>
  </si>
  <si>
    <t>8pol 5mm 1,5² Connector Push</t>
  </si>
  <si>
    <t>651-1792928</t>
  </si>
  <si>
    <t>1792928 (PTS 1,5/8-5,0-H)</t>
  </si>
  <si>
    <t>BZX84B5V1-7-F</t>
  </si>
  <si>
    <t>621-BZX84B5V1-7-F</t>
  </si>
  <si>
    <t>Zener 5,1V 350mW</t>
  </si>
  <si>
    <t>BZX84B12-7-F</t>
  </si>
  <si>
    <t>621-BZX84B12-7-F</t>
  </si>
  <si>
    <t>D8 x 3,5 Pin</t>
  </si>
  <si>
    <t>C15, C17</t>
  </si>
  <si>
    <t>C13, C14, C18, C19</t>
  </si>
  <si>
    <t>U2, U3, U4</t>
  </si>
  <si>
    <t>R27</t>
  </si>
  <si>
    <t>SI2316BDS-T1-GE3</t>
  </si>
  <si>
    <t>P MOSFET / 20V / 1,5A / Logiclevel</t>
  </si>
  <si>
    <t>781-SI2316BDS-T1-GE3</t>
  </si>
  <si>
    <t>N MOSFET / 30V / 2A</t>
  </si>
  <si>
    <t>R17, R18, R30</t>
  </si>
  <si>
    <t>D2, D4, D14</t>
  </si>
  <si>
    <t>U7 (needs 2x Connectors)</t>
  </si>
  <si>
    <t>EMK212AB7475KGHT</t>
  </si>
  <si>
    <t>963-EMK212AB7475KGHT</t>
  </si>
  <si>
    <t>100k</t>
  </si>
  <si>
    <t>AEC-Q200</t>
  </si>
  <si>
    <t>CL21B472KDCNNNC</t>
  </si>
  <si>
    <t>187-CL21B472KDCNNNC</t>
  </si>
  <si>
    <t>343k</t>
  </si>
  <si>
    <t>GRM21BR61A226ME51L</t>
  </si>
  <si>
    <t>Murata</t>
  </si>
  <si>
    <t>81-GRM21BR61A226ME1L</t>
  </si>
  <si>
    <t>196K</t>
  </si>
  <si>
    <t>CL32B106KBJNNNF</t>
  </si>
  <si>
    <t>187-CL32B106KBJNNNF</t>
  </si>
  <si>
    <t>100n/16V/X7R/10%</t>
  </si>
  <si>
    <t>10u/50V/X7R/10%</t>
  </si>
  <si>
    <t>4n7/100V/X7R/10%</t>
  </si>
  <si>
    <t>4u7/16V/X7R/10%</t>
  </si>
  <si>
    <t>CL10B102KC8NNNC</t>
  </si>
  <si>
    <t>187-CL10B102KC8NNNC</t>
  </si>
  <si>
    <t>20k</t>
  </si>
  <si>
    <t>1n/100V/X7R/10%</t>
  </si>
  <si>
    <t>LMK107BJ225KAHT</t>
  </si>
  <si>
    <t>963-LMK107BJ225KAHT</t>
  </si>
  <si>
    <t>30k</t>
  </si>
  <si>
    <t>JMK107ABJ106MAHT</t>
  </si>
  <si>
    <t>963-JMK107ABJ106MAHT</t>
  </si>
  <si>
    <t>127k</t>
  </si>
  <si>
    <t>1500K</t>
  </si>
  <si>
    <t>72K</t>
  </si>
  <si>
    <t>10p/50V/C0G/5%</t>
  </si>
  <si>
    <t>22u/10V/X5R/20%</t>
  </si>
  <si>
    <t>10u/6V3/X5R/20%</t>
  </si>
  <si>
    <t>2u2/6V3/X5R/10%</t>
  </si>
  <si>
    <t>LMK316ABJ476ML-T</t>
  </si>
  <si>
    <t>47u/10V/X5R/20%</t>
  </si>
  <si>
    <t>963-LMK316ABJ476ML-T</t>
  </si>
  <si>
    <t>15K</t>
  </si>
  <si>
    <t>JMK105BJ105KVHF</t>
  </si>
  <si>
    <t>963-JMK105BJ105KVHF</t>
  </si>
  <si>
    <t>360k</t>
  </si>
  <si>
    <t>1u/6V3/X5R/10%</t>
  </si>
  <si>
    <t>ESL227M035AG8AA</t>
  </si>
  <si>
    <t>220u/25V/POL/20%</t>
  </si>
  <si>
    <t>80-ESL227M035AG8AA</t>
  </si>
  <si>
    <t>13K</t>
  </si>
  <si>
    <t>150R/100mW/1%</t>
  </si>
  <si>
    <t>AC0603FR-1010KL</t>
  </si>
  <si>
    <t>603-AC0603FR-1010KL</t>
  </si>
  <si>
    <t>270K</t>
  </si>
  <si>
    <t>10k/100mW/1%</t>
  </si>
  <si>
    <t>AC0603FR-071KL</t>
  </si>
  <si>
    <t>603-AC0603FR-071KL</t>
  </si>
  <si>
    <t>43K</t>
  </si>
  <si>
    <t>1k/100mW/1%</t>
  </si>
  <si>
    <t>AC0603FR-07360RL</t>
  </si>
  <si>
    <t>AC0603FR-070RL</t>
  </si>
  <si>
    <t>603-AC0603FR-07360RL</t>
  </si>
  <si>
    <t>360R/100mW/1%</t>
  </si>
  <si>
    <t>AC0603FR-7W150RL</t>
  </si>
  <si>
    <t>603-AC0603FR-7W150RL</t>
  </si>
  <si>
    <t>2K</t>
  </si>
  <si>
    <t>603-AC0603FR-070RL</t>
  </si>
  <si>
    <t>154K</t>
  </si>
  <si>
    <t>AC0805FR-0768RL</t>
  </si>
  <si>
    <t>603-AC0805FR-0768RL</t>
  </si>
  <si>
    <t>5K</t>
  </si>
  <si>
    <t>68R/125mW/1%</t>
  </si>
  <si>
    <t>150R/125mW/1%</t>
  </si>
  <si>
    <t>AC0805FR-07150RL</t>
  </si>
  <si>
    <t>AC0402FR-071ML</t>
  </si>
  <si>
    <t>603-AC0805FR-07150RL</t>
  </si>
  <si>
    <t>9K</t>
  </si>
  <si>
    <t>AC0402FR-1322KL</t>
  </si>
  <si>
    <t>603-AC0402FR-1322KL</t>
  </si>
  <si>
    <t>94K</t>
  </si>
  <si>
    <t>100k/62,5mA/1%</t>
  </si>
  <si>
    <t>22k/62,5mA/1%</t>
  </si>
  <si>
    <t>AC0402FR-13100KL</t>
  </si>
  <si>
    <t>AC0402FR-13100RL</t>
  </si>
  <si>
    <t>AC0402FR-134K7L</t>
  </si>
  <si>
    <t>603-AC0402FR-13100KL</t>
  </si>
  <si>
    <t>56K</t>
  </si>
  <si>
    <t>AC0402FR-0715KL</t>
  </si>
  <si>
    <t>603-AC0402FR-0715KL</t>
  </si>
  <si>
    <t>15k/62,5mA/1%</t>
  </si>
  <si>
    <t>47k/62,5mA/1%</t>
  </si>
  <si>
    <t>AC0402FR-0747KL</t>
  </si>
  <si>
    <t>603-AC0402FR-0747KL</t>
  </si>
  <si>
    <t>4K</t>
  </si>
  <si>
    <t>AC0402FR-1310KL</t>
  </si>
  <si>
    <t>603-AC0402FR-1310KL</t>
  </si>
  <si>
    <t>12K</t>
  </si>
  <si>
    <t>10k/62,5mA/1%</t>
  </si>
  <si>
    <t>603-AC0402FR-134K7L</t>
  </si>
  <si>
    <t>71K</t>
  </si>
  <si>
    <t>603-AC0402FR-071ML</t>
  </si>
  <si>
    <t>157K</t>
  </si>
  <si>
    <t>ERJ-U02F8662X</t>
  </si>
  <si>
    <t>667-ERJ-U02F8662X</t>
  </si>
  <si>
    <t>4k7/62,5mA/1%</t>
  </si>
  <si>
    <t>1M/62,5mA/1%</t>
  </si>
  <si>
    <t>86k6/62,5mA/1%</t>
  </si>
  <si>
    <t>100R/62,5mA/1%</t>
  </si>
  <si>
    <t>603-AC0402FR-13100RL</t>
  </si>
  <si>
    <t>7K</t>
  </si>
  <si>
    <t>2k2/62,5mA/1%</t>
  </si>
  <si>
    <t>AF0402FR-072K2L</t>
  </si>
  <si>
    <t>30K</t>
  </si>
  <si>
    <t>603-AF0402FR-072K2L</t>
  </si>
  <si>
    <t>ERT-J1VR104FM</t>
  </si>
  <si>
    <t>667-ERT-J1VR104FM</t>
  </si>
  <si>
    <t>FBMH1608HM471-TV</t>
  </si>
  <si>
    <t>963-FBMH1608HM471-TV</t>
  </si>
  <si>
    <t>3K</t>
  </si>
  <si>
    <t>SMMSD4148T1G</t>
  </si>
  <si>
    <t>863-SMMSD4148T1G</t>
  </si>
  <si>
    <t>189K</t>
  </si>
  <si>
    <t>10K</t>
  </si>
  <si>
    <t>140K</t>
  </si>
  <si>
    <t>70K</t>
  </si>
  <si>
    <t>92K</t>
  </si>
  <si>
    <t>174K</t>
  </si>
  <si>
    <t>50K</t>
  </si>
  <si>
    <t>11K</t>
  </si>
  <si>
    <t>F</t>
  </si>
  <si>
    <t>CD4514B</t>
  </si>
  <si>
    <t>CD4511B</t>
  </si>
  <si>
    <t>PCF85063A</t>
  </si>
  <si>
    <t>0,8mm</t>
  </si>
  <si>
    <t>1,75mm</t>
  </si>
  <si>
    <t>1,1mm</t>
  </si>
  <si>
    <t>0,5mm</t>
  </si>
  <si>
    <t>clearance under CM4 1.5mm, mit 1,5mm hohen Verbinder 0 clearance</t>
  </si>
  <si>
    <t>APX803L-30SA-7</t>
  </si>
  <si>
    <t>Reset IC</t>
  </si>
  <si>
    <t>621-APX803L-30SA-7</t>
  </si>
  <si>
    <t>U5</t>
  </si>
  <si>
    <t>C2-C5, C10, C31-C33, C38, C40, C42, C71, C72, C74, C75, C77, C78</t>
  </si>
  <si>
    <t>Y2</t>
  </si>
  <si>
    <t>OSC 12.2880MHz</t>
  </si>
  <si>
    <t>1,0mm</t>
  </si>
  <si>
    <t>2.5x2.0mm</t>
  </si>
  <si>
    <t>BT Module BM64</t>
  </si>
  <si>
    <t>BM64</t>
  </si>
  <si>
    <t>710-830208220101</t>
  </si>
  <si>
    <t>BM64SPKS1MC2-0002AA</t>
  </si>
  <si>
    <t>579-BM64SPKS1MC202AA</t>
  </si>
  <si>
    <t xml:space="preserve">BM64 BT Module </t>
  </si>
  <si>
    <t>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</si>
</sst>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9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1" fillId="0" borderId="0" xfId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0" fontId="3" fillId="0" borderId="0" xfId="0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0" fontId="1" fillId="2" borderId="0" xfId="1" applyFill="1"/>
    <xf numFmtId="0" fontId="3" fillId="2" borderId="0" xfId="0" applyFont="1" applyFill="1"/>
    <xf numFmtId="1" fontId="6" fillId="3" borderId="0" xfId="4" applyNumberFormat="1"/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44" fontId="1" fillId="0" borderId="0" xfId="1" applyNumberFormat="1"/>
    <xf numFmtId="0" fontId="0" fillId="0" borderId="0" xfId="0" applyFill="1" applyAlignment="1">
      <alignment horizontal="left"/>
    </xf>
    <xf numFmtId="44" fontId="3" fillId="0" borderId="0" xfId="3" applyFont="1"/>
    <xf numFmtId="1" fontId="6" fillId="3" borderId="0" xfId="4" applyNumberFormat="1" applyAlignment="1">
      <alignment horizontal="right"/>
    </xf>
    <xf numFmtId="44" fontId="0" fillId="0" borderId="0" xfId="0" applyNumberFormat="1"/>
    <xf numFmtId="44" fontId="0" fillId="2" borderId="0" xfId="0" applyNumberFormat="1" applyFill="1"/>
    <xf numFmtId="164" fontId="3" fillId="0" borderId="0" xfId="0" applyNumberFormat="1" applyFont="1" applyFill="1"/>
    <xf numFmtId="0" fontId="8" fillId="0" borderId="0" xfId="0" applyFont="1"/>
    <xf numFmtId="0" fontId="0" fillId="5" borderId="0" xfId="0" applyFill="1"/>
    <xf numFmtId="1" fontId="0" fillId="0" borderId="0" xfId="0" applyNumberFormat="1" applyFill="1"/>
    <xf numFmtId="0" fontId="0" fillId="0" borderId="0" xfId="0" applyAlignment="1">
      <alignment horizontal="center"/>
    </xf>
  </cellXfs>
  <cellStyles count="6">
    <cellStyle name="Erklärender Text" xfId="1" builtinId="53"/>
    <cellStyle name="Gut" xfId="4" builtinId="26"/>
    <cellStyle name="Link" xfId="2" builtinId="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Z95"/>
  <sheetViews>
    <sheetView tabSelected="1" zoomScale="85" zoomScaleNormal="85" workbookViewId="0">
      <selection activeCell="F81" sqref="F81"/>
    </sheetView>
  </sheetViews>
  <sheetFormatPr baseColWidth="10" defaultRowHeight="14.35" outlineLevelCol="1" x14ac:dyDescent="0.5"/>
  <cols>
    <col min="1" max="1" width="4.3515625" bestFit="1" customWidth="1"/>
    <col min="2" max="2" width="5.3515625" customWidth="1"/>
    <col min="3" max="3" width="31.703125" bestFit="1" customWidth="1"/>
    <col min="4" max="4" width="26.3515625" customWidth="1"/>
    <col min="5" max="5" width="17.05859375" bestFit="1" customWidth="1"/>
    <col min="6" max="6" width="24" bestFit="1" customWidth="1"/>
    <col min="7" max="7" width="12.5859375" customWidth="1"/>
    <col min="8" max="8" width="15.46875" bestFit="1" customWidth="1"/>
    <col min="9" max="9" width="11.3515625" bestFit="1" customWidth="1"/>
    <col min="10" max="10" width="2.8203125" style="4" customWidth="1" outlineLevel="1"/>
    <col min="11" max="11" width="22.9375" bestFit="1" customWidth="1" outlineLevel="1"/>
    <col min="12" max="12" width="13" bestFit="1" customWidth="1" outlineLevel="1"/>
    <col min="13" max="14" width="11" customWidth="1" outlineLevel="1"/>
    <col min="15" max="16" width="10.9375" customWidth="1" outlineLevel="1"/>
    <col min="17" max="17" width="7.52734375" customWidth="1" outlineLevel="1"/>
    <col min="18" max="26" width="10.9375" customWidth="1" outlineLevel="1"/>
  </cols>
  <sheetData>
    <row r="1" spans="1:18" x14ac:dyDescent="0.5">
      <c r="K1" s="38" t="s">
        <v>4</v>
      </c>
      <c r="L1" s="38"/>
      <c r="M1" s="38"/>
      <c r="N1" s="38"/>
      <c r="O1" s="38" t="s">
        <v>0</v>
      </c>
      <c r="P1" s="38"/>
    </row>
    <row r="2" spans="1:18" x14ac:dyDescent="0.5">
      <c r="A2" t="s">
        <v>17</v>
      </c>
      <c r="B2" t="s">
        <v>18</v>
      </c>
      <c r="C2" t="s">
        <v>22</v>
      </c>
      <c r="D2" t="s">
        <v>19</v>
      </c>
      <c r="E2" t="s">
        <v>21</v>
      </c>
      <c r="F2" t="s">
        <v>20</v>
      </c>
      <c r="G2" t="s">
        <v>23</v>
      </c>
      <c r="H2" t="s">
        <v>172</v>
      </c>
      <c r="I2" t="s">
        <v>85</v>
      </c>
      <c r="K2" t="s">
        <v>5</v>
      </c>
      <c r="L2" t="s">
        <v>42</v>
      </c>
      <c r="M2" t="s">
        <v>6</v>
      </c>
      <c r="N2" t="s">
        <v>7</v>
      </c>
      <c r="O2" t="s">
        <v>8</v>
      </c>
      <c r="P2" t="s">
        <v>9</v>
      </c>
    </row>
    <row r="3" spans="1:18" x14ac:dyDescent="0.5">
      <c r="A3">
        <v>1</v>
      </c>
      <c r="B3">
        <v>1</v>
      </c>
      <c r="C3" t="s">
        <v>238</v>
      </c>
      <c r="D3" t="s">
        <v>194</v>
      </c>
      <c r="E3" t="s">
        <v>27</v>
      </c>
      <c r="F3" t="s">
        <v>222</v>
      </c>
      <c r="G3">
        <v>805</v>
      </c>
      <c r="I3" t="s">
        <v>225</v>
      </c>
      <c r="K3" t="s">
        <v>223</v>
      </c>
      <c r="L3" s="27" t="s">
        <v>224</v>
      </c>
      <c r="M3" s="16">
        <v>0.152</v>
      </c>
      <c r="N3" s="16">
        <v>6.0999999999999999E-2</v>
      </c>
      <c r="O3" s="32">
        <f>B3*M3</f>
        <v>0.152</v>
      </c>
      <c r="P3" s="32">
        <f>B3*N3</f>
        <v>6.0999999999999999E-2</v>
      </c>
    </row>
    <row r="4" spans="1:18" x14ac:dyDescent="0.5">
      <c r="A4" s="7">
        <v>2</v>
      </c>
      <c r="B4">
        <v>17</v>
      </c>
      <c r="C4" t="s">
        <v>235</v>
      </c>
      <c r="D4" s="12" t="s">
        <v>359</v>
      </c>
      <c r="E4" s="7" t="s">
        <v>76</v>
      </c>
      <c r="F4" s="15" t="s">
        <v>78</v>
      </c>
      <c r="G4" s="7">
        <v>402</v>
      </c>
      <c r="H4" s="7"/>
      <c r="I4" s="7"/>
      <c r="K4" s="7" t="s">
        <v>77</v>
      </c>
      <c r="L4" s="27" t="s">
        <v>232</v>
      </c>
      <c r="M4" s="22">
        <v>1.7000000000000001E-2</v>
      </c>
      <c r="N4" s="22">
        <v>1.4E-2</v>
      </c>
      <c r="O4" s="32">
        <f t="shared" ref="O4:O68" si="0">B4*M4</f>
        <v>0.28900000000000003</v>
      </c>
      <c r="P4" s="32">
        <f t="shared" ref="P4:P68" si="1">B4*N4</f>
        <v>0.23800000000000002</v>
      </c>
      <c r="Q4" s="7"/>
    </row>
    <row r="5" spans="1:18" s="12" customFormat="1" x14ac:dyDescent="0.5">
      <c r="A5">
        <v>3</v>
      </c>
      <c r="B5" s="12">
        <v>4</v>
      </c>
      <c r="C5" s="12" t="s">
        <v>237</v>
      </c>
      <c r="D5" s="12" t="s">
        <v>88</v>
      </c>
      <c r="E5" s="12" t="s">
        <v>36</v>
      </c>
      <c r="F5" s="12" t="s">
        <v>226</v>
      </c>
      <c r="G5" s="12">
        <v>805</v>
      </c>
      <c r="J5" s="20"/>
      <c r="K5" s="12" t="s">
        <v>227</v>
      </c>
      <c r="L5" s="27" t="s">
        <v>228</v>
      </c>
      <c r="M5" s="30">
        <v>3.5999999999999997E-2</v>
      </c>
      <c r="N5" s="30">
        <v>3.3000000000000002E-2</v>
      </c>
      <c r="O5" s="32">
        <f t="shared" si="0"/>
        <v>0.14399999999999999</v>
      </c>
      <c r="P5" s="32">
        <f t="shared" si="1"/>
        <v>0.13200000000000001</v>
      </c>
    </row>
    <row r="6" spans="1:18" x14ac:dyDescent="0.5">
      <c r="A6">
        <v>4</v>
      </c>
      <c r="B6">
        <v>4</v>
      </c>
      <c r="C6" t="s">
        <v>236</v>
      </c>
      <c r="D6" t="s">
        <v>212</v>
      </c>
      <c r="E6" s="12" t="s">
        <v>36</v>
      </c>
      <c r="F6" t="s">
        <v>233</v>
      </c>
      <c r="G6">
        <v>1210</v>
      </c>
      <c r="K6" s="7" t="s">
        <v>234</v>
      </c>
      <c r="L6" s="13">
        <v>1100</v>
      </c>
      <c r="M6" s="16">
        <v>0.36099999999999999</v>
      </c>
      <c r="N6" s="16">
        <v>0.17599999999999999</v>
      </c>
      <c r="O6" s="32">
        <f t="shared" si="0"/>
        <v>1.444</v>
      </c>
      <c r="P6" s="32">
        <f t="shared" si="1"/>
        <v>0.70399999999999996</v>
      </c>
    </row>
    <row r="7" spans="1:18" x14ac:dyDescent="0.5">
      <c r="A7" s="7">
        <v>5</v>
      </c>
      <c r="B7">
        <v>2</v>
      </c>
      <c r="C7" t="s">
        <v>242</v>
      </c>
      <c r="D7" t="s">
        <v>211</v>
      </c>
      <c r="E7" s="12" t="s">
        <v>36</v>
      </c>
      <c r="F7" t="s">
        <v>239</v>
      </c>
      <c r="G7">
        <v>603</v>
      </c>
      <c r="K7" s="7" t="s">
        <v>240</v>
      </c>
      <c r="L7" s="27" t="s">
        <v>241</v>
      </c>
      <c r="M7" s="16">
        <v>1.7999999999999999E-2</v>
      </c>
      <c r="N7" s="16">
        <v>1.0999999999999999E-2</v>
      </c>
      <c r="O7" s="32">
        <f t="shared" si="0"/>
        <v>3.5999999999999997E-2</v>
      </c>
      <c r="P7" s="32">
        <f t="shared" si="1"/>
        <v>2.1999999999999999E-2</v>
      </c>
    </row>
    <row r="8" spans="1:18" x14ac:dyDescent="0.5">
      <c r="A8">
        <v>6</v>
      </c>
      <c r="B8">
        <v>1</v>
      </c>
      <c r="C8" t="s">
        <v>264</v>
      </c>
      <c r="D8" t="s">
        <v>16</v>
      </c>
      <c r="E8" s="7" t="s">
        <v>25</v>
      </c>
      <c r="F8" t="s">
        <v>263</v>
      </c>
      <c r="G8" t="s">
        <v>210</v>
      </c>
      <c r="K8" s="7" t="s">
        <v>265</v>
      </c>
      <c r="L8" s="13">
        <v>825</v>
      </c>
      <c r="M8" s="16">
        <v>0.186</v>
      </c>
      <c r="N8" s="16">
        <v>0.12</v>
      </c>
      <c r="O8" s="32">
        <f t="shared" si="0"/>
        <v>0.186</v>
      </c>
      <c r="P8" s="32">
        <f t="shared" si="1"/>
        <v>0.12</v>
      </c>
    </row>
    <row r="9" spans="1:18" x14ac:dyDescent="0.5">
      <c r="A9">
        <v>7</v>
      </c>
      <c r="B9">
        <v>2</v>
      </c>
      <c r="C9" s="12" t="s">
        <v>256</v>
      </c>
      <c r="D9" t="s">
        <v>89</v>
      </c>
      <c r="E9" s="12" t="s">
        <v>27</v>
      </c>
      <c r="F9" t="s">
        <v>255</v>
      </c>
      <c r="G9">
        <v>1206</v>
      </c>
      <c r="K9" t="s">
        <v>257</v>
      </c>
      <c r="L9" s="27" t="s">
        <v>258</v>
      </c>
      <c r="M9" s="16">
        <v>0.28399999999999997</v>
      </c>
      <c r="N9" s="16">
        <v>0.153</v>
      </c>
      <c r="O9" s="32">
        <f t="shared" si="0"/>
        <v>0.56799999999999995</v>
      </c>
      <c r="P9" s="32">
        <f t="shared" si="1"/>
        <v>0.30599999999999999</v>
      </c>
    </row>
    <row r="10" spans="1:18" s="12" customFormat="1" x14ac:dyDescent="0.5">
      <c r="A10" s="7">
        <v>8</v>
      </c>
      <c r="B10" s="12">
        <v>2</v>
      </c>
      <c r="C10" s="12" t="s">
        <v>252</v>
      </c>
      <c r="D10" s="12" t="s">
        <v>195</v>
      </c>
      <c r="E10" s="9" t="s">
        <v>230</v>
      </c>
      <c r="F10" s="9" t="s">
        <v>229</v>
      </c>
      <c r="G10" s="9">
        <v>805</v>
      </c>
      <c r="H10" s="9"/>
      <c r="I10" s="9"/>
      <c r="J10" s="20"/>
      <c r="K10" s="9" t="s">
        <v>231</v>
      </c>
      <c r="L10" s="27" t="s">
        <v>249</v>
      </c>
      <c r="M10" s="24">
        <v>0.16800000000000001</v>
      </c>
      <c r="N10" s="24">
        <v>6.7000000000000004E-2</v>
      </c>
      <c r="O10" s="32">
        <f t="shared" si="0"/>
        <v>0.33600000000000002</v>
      </c>
      <c r="P10" s="32">
        <f t="shared" si="1"/>
        <v>0.13400000000000001</v>
      </c>
    </row>
    <row r="11" spans="1:18" s="2" customFormat="1" x14ac:dyDescent="0.5">
      <c r="A11">
        <v>9</v>
      </c>
      <c r="B11" s="2">
        <v>0</v>
      </c>
      <c r="C11" s="2" t="s">
        <v>87</v>
      </c>
      <c r="D11" s="2" t="s">
        <v>90</v>
      </c>
      <c r="G11" s="2">
        <v>603</v>
      </c>
      <c r="J11" s="19"/>
      <c r="L11"/>
      <c r="M11" s="23"/>
      <c r="N11" s="23"/>
      <c r="O11" s="32">
        <f t="shared" si="0"/>
        <v>0</v>
      </c>
      <c r="P11" s="32">
        <f t="shared" si="1"/>
        <v>0</v>
      </c>
    </row>
    <row r="12" spans="1:18" s="12" customFormat="1" x14ac:dyDescent="0.5">
      <c r="A12">
        <v>10</v>
      </c>
      <c r="B12" s="12">
        <v>1</v>
      </c>
      <c r="C12" s="12" t="s">
        <v>253</v>
      </c>
      <c r="D12" s="12" t="s">
        <v>91</v>
      </c>
      <c r="E12" s="12" t="s">
        <v>27</v>
      </c>
      <c r="F12" s="12" t="s">
        <v>246</v>
      </c>
      <c r="G12" s="12">
        <v>603</v>
      </c>
      <c r="I12" s="12" t="s">
        <v>225</v>
      </c>
      <c r="J12" s="20"/>
      <c r="K12" s="12" t="s">
        <v>247</v>
      </c>
      <c r="L12" s="27" t="s">
        <v>248</v>
      </c>
      <c r="M12" s="30">
        <v>7.3999999999999996E-2</v>
      </c>
      <c r="N12" s="30">
        <v>3.9E-2</v>
      </c>
      <c r="O12" s="32">
        <f t="shared" si="0"/>
        <v>7.3999999999999996E-2</v>
      </c>
      <c r="P12" s="32">
        <f t="shared" si="1"/>
        <v>3.9E-2</v>
      </c>
    </row>
    <row r="13" spans="1:18" x14ac:dyDescent="0.5">
      <c r="A13" s="7">
        <v>11</v>
      </c>
      <c r="B13">
        <v>10</v>
      </c>
      <c r="C13" t="s">
        <v>251</v>
      </c>
      <c r="D13" t="s">
        <v>92</v>
      </c>
      <c r="E13" s="7" t="s">
        <v>25</v>
      </c>
      <c r="F13" s="7" t="s">
        <v>74</v>
      </c>
      <c r="G13" s="7">
        <v>402</v>
      </c>
      <c r="H13" s="7"/>
      <c r="I13" t="s">
        <v>225</v>
      </c>
      <c r="K13" s="7" t="s">
        <v>75</v>
      </c>
      <c r="L13" s="27" t="s">
        <v>250</v>
      </c>
      <c r="M13" s="22">
        <v>5.8000000000000003E-2</v>
      </c>
      <c r="N13" s="22">
        <v>0.2</v>
      </c>
      <c r="O13" s="32">
        <f t="shared" si="0"/>
        <v>0.58000000000000007</v>
      </c>
      <c r="P13" s="32">
        <f t="shared" si="1"/>
        <v>2</v>
      </c>
      <c r="Q13" s="7"/>
    </row>
    <row r="14" spans="1:18" x14ac:dyDescent="0.5">
      <c r="A14">
        <v>12</v>
      </c>
      <c r="B14">
        <v>19</v>
      </c>
      <c r="C14" t="s">
        <v>262</v>
      </c>
      <c r="D14" t="s">
        <v>93</v>
      </c>
      <c r="E14" s="12" t="s">
        <v>27</v>
      </c>
      <c r="F14" s="7" t="s">
        <v>259</v>
      </c>
      <c r="G14" s="7">
        <v>402</v>
      </c>
      <c r="H14" s="7"/>
      <c r="I14" s="12" t="s">
        <v>225</v>
      </c>
      <c r="K14" s="7" t="s">
        <v>260</v>
      </c>
      <c r="L14" s="27" t="s">
        <v>261</v>
      </c>
      <c r="M14" s="22">
        <v>2.8000000000000001E-2</v>
      </c>
      <c r="N14" s="22">
        <v>1.6E-2</v>
      </c>
      <c r="O14" s="32">
        <f t="shared" si="0"/>
        <v>0.53200000000000003</v>
      </c>
      <c r="P14" s="32">
        <f t="shared" si="1"/>
        <v>0.30399999999999999</v>
      </c>
      <c r="Q14" s="7"/>
      <c r="R14" s="7"/>
    </row>
    <row r="15" spans="1:18" s="12" customFormat="1" x14ac:dyDescent="0.5">
      <c r="A15">
        <v>13</v>
      </c>
      <c r="B15" s="12">
        <v>1</v>
      </c>
      <c r="C15" s="12" t="s">
        <v>254</v>
      </c>
      <c r="D15" s="12" t="s">
        <v>94</v>
      </c>
      <c r="E15" s="12" t="s">
        <v>27</v>
      </c>
      <c r="F15" s="12" t="s">
        <v>243</v>
      </c>
      <c r="G15" s="12">
        <v>603</v>
      </c>
      <c r="I15" s="12" t="s">
        <v>225</v>
      </c>
      <c r="J15" s="20"/>
      <c r="K15" s="12" t="s">
        <v>244</v>
      </c>
      <c r="L15" s="27" t="s">
        <v>245</v>
      </c>
      <c r="M15" s="30">
        <v>5.5E-2</v>
      </c>
      <c r="N15" s="30">
        <v>2.4E-2</v>
      </c>
      <c r="O15" s="32">
        <f t="shared" si="0"/>
        <v>5.5E-2</v>
      </c>
      <c r="P15" s="32">
        <f t="shared" si="1"/>
        <v>2.4E-2</v>
      </c>
    </row>
    <row r="16" spans="1:18" x14ac:dyDescent="0.5">
      <c r="A16" s="7">
        <v>14</v>
      </c>
      <c r="B16">
        <v>4</v>
      </c>
      <c r="C16" s="7" t="s">
        <v>267</v>
      </c>
      <c r="D16" t="s">
        <v>121</v>
      </c>
      <c r="E16" s="12" t="s">
        <v>24</v>
      </c>
      <c r="F16" t="s">
        <v>280</v>
      </c>
      <c r="G16" s="7">
        <v>603</v>
      </c>
      <c r="H16" s="7"/>
      <c r="I16" s="12" t="s">
        <v>225</v>
      </c>
      <c r="K16" t="s">
        <v>281</v>
      </c>
      <c r="L16" s="27" t="s">
        <v>282</v>
      </c>
      <c r="M16" s="16">
        <v>3.9E-2</v>
      </c>
      <c r="N16" s="16">
        <v>1.6E-2</v>
      </c>
      <c r="O16" s="32">
        <f t="shared" si="0"/>
        <v>0.156</v>
      </c>
      <c r="P16" s="32">
        <f t="shared" si="1"/>
        <v>6.4000000000000001E-2</v>
      </c>
    </row>
    <row r="17" spans="1:16" x14ac:dyDescent="0.5">
      <c r="A17">
        <v>15</v>
      </c>
      <c r="B17">
        <v>1</v>
      </c>
      <c r="C17" t="s">
        <v>271</v>
      </c>
      <c r="D17" t="s">
        <v>3</v>
      </c>
      <c r="E17" s="12" t="s">
        <v>24</v>
      </c>
      <c r="F17" t="s">
        <v>268</v>
      </c>
      <c r="G17" s="7">
        <v>603</v>
      </c>
      <c r="H17" s="7"/>
      <c r="I17" s="12" t="s">
        <v>225</v>
      </c>
      <c r="K17" t="s">
        <v>269</v>
      </c>
      <c r="L17" s="27" t="s">
        <v>270</v>
      </c>
      <c r="M17" s="16">
        <v>1.9E-2</v>
      </c>
      <c r="N17" s="16">
        <v>5.0000000000000001E-3</v>
      </c>
      <c r="O17" s="32">
        <f t="shared" si="0"/>
        <v>1.9E-2</v>
      </c>
      <c r="P17" s="32">
        <f t="shared" si="1"/>
        <v>5.0000000000000001E-3</v>
      </c>
    </row>
    <row r="18" spans="1:16" x14ac:dyDescent="0.5">
      <c r="A18">
        <v>16</v>
      </c>
      <c r="B18">
        <v>7</v>
      </c>
      <c r="C18" t="s">
        <v>298</v>
      </c>
      <c r="D18" t="s">
        <v>118</v>
      </c>
      <c r="E18" s="12" t="s">
        <v>24</v>
      </c>
      <c r="F18" t="s">
        <v>294</v>
      </c>
      <c r="G18" s="7">
        <v>402</v>
      </c>
      <c r="H18" s="7"/>
      <c r="I18" s="12" t="s">
        <v>225</v>
      </c>
      <c r="K18" t="s">
        <v>295</v>
      </c>
      <c r="L18" s="27" t="s">
        <v>296</v>
      </c>
      <c r="M18" s="16">
        <v>1.4999999999999999E-2</v>
      </c>
      <c r="N18" s="16">
        <v>4.0000000000000001E-3</v>
      </c>
      <c r="O18" s="32">
        <f t="shared" si="0"/>
        <v>0.105</v>
      </c>
      <c r="P18" s="32">
        <f t="shared" si="1"/>
        <v>2.8000000000000001E-2</v>
      </c>
    </row>
    <row r="19" spans="1:16" x14ac:dyDescent="0.5">
      <c r="A19" s="7">
        <v>17</v>
      </c>
      <c r="B19">
        <v>1</v>
      </c>
      <c r="C19" t="s">
        <v>297</v>
      </c>
      <c r="D19" t="s">
        <v>199</v>
      </c>
      <c r="E19" s="12" t="s">
        <v>24</v>
      </c>
      <c r="F19" t="s">
        <v>299</v>
      </c>
      <c r="G19" s="7">
        <v>402</v>
      </c>
      <c r="H19" s="7"/>
      <c r="I19" s="12" t="s">
        <v>225</v>
      </c>
      <c r="K19" t="s">
        <v>302</v>
      </c>
      <c r="L19" s="27" t="s">
        <v>303</v>
      </c>
      <c r="M19" s="16">
        <v>1.9E-2</v>
      </c>
      <c r="N19" s="16">
        <v>4.0000000000000001E-3</v>
      </c>
      <c r="O19" s="32">
        <f t="shared" si="0"/>
        <v>1.9E-2</v>
      </c>
      <c r="P19" s="32">
        <f t="shared" si="1"/>
        <v>4.0000000000000001E-3</v>
      </c>
    </row>
    <row r="20" spans="1:16" x14ac:dyDescent="0.5">
      <c r="A20">
        <v>18</v>
      </c>
      <c r="B20">
        <v>1</v>
      </c>
      <c r="C20" t="s">
        <v>306</v>
      </c>
      <c r="D20" t="s">
        <v>111</v>
      </c>
      <c r="E20" s="12" t="s">
        <v>24</v>
      </c>
      <c r="F20" t="s">
        <v>304</v>
      </c>
      <c r="G20" s="7">
        <v>402</v>
      </c>
      <c r="H20" s="7"/>
      <c r="I20" s="12" t="s">
        <v>225</v>
      </c>
      <c r="K20" t="s">
        <v>305</v>
      </c>
      <c r="L20" s="27" t="s">
        <v>287</v>
      </c>
      <c r="M20" s="16">
        <v>1.4999999999999999E-2</v>
      </c>
      <c r="N20" s="16">
        <v>4.0000000000000001E-3</v>
      </c>
      <c r="O20" s="32">
        <f t="shared" si="0"/>
        <v>1.4999999999999999E-2</v>
      </c>
      <c r="P20" s="32">
        <f t="shared" si="1"/>
        <v>4.0000000000000001E-3</v>
      </c>
    </row>
    <row r="21" spans="1:16" s="12" customFormat="1" x14ac:dyDescent="0.5">
      <c r="A21">
        <v>19</v>
      </c>
      <c r="B21" s="12">
        <v>1</v>
      </c>
      <c r="C21" s="12" t="s">
        <v>324</v>
      </c>
      <c r="D21" s="12" t="s">
        <v>112</v>
      </c>
      <c r="E21" s="12" t="s">
        <v>24</v>
      </c>
      <c r="F21" s="12" t="s">
        <v>300</v>
      </c>
      <c r="G21" s="9">
        <v>402</v>
      </c>
      <c r="H21" s="9"/>
      <c r="I21" s="12" t="s">
        <v>225</v>
      </c>
      <c r="J21" s="20"/>
      <c r="K21" s="12" t="s">
        <v>325</v>
      </c>
      <c r="L21" s="27" t="s">
        <v>326</v>
      </c>
      <c r="M21" s="30">
        <v>1.2999999999999999E-2</v>
      </c>
      <c r="N21" s="30">
        <v>3.0000000000000001E-3</v>
      </c>
      <c r="O21" s="32">
        <f t="shared" si="0"/>
        <v>1.2999999999999999E-2</v>
      </c>
      <c r="P21" s="32">
        <f t="shared" si="1"/>
        <v>3.0000000000000001E-3</v>
      </c>
    </row>
    <row r="22" spans="1:16" x14ac:dyDescent="0.5">
      <c r="A22" s="7">
        <v>20</v>
      </c>
      <c r="B22">
        <v>2</v>
      </c>
      <c r="C22" t="s">
        <v>307</v>
      </c>
      <c r="D22" t="s">
        <v>200</v>
      </c>
      <c r="E22" s="12" t="s">
        <v>24</v>
      </c>
      <c r="F22" t="s">
        <v>308</v>
      </c>
      <c r="G22" s="7">
        <v>402</v>
      </c>
      <c r="H22" s="7"/>
      <c r="I22" s="12" t="s">
        <v>225</v>
      </c>
      <c r="K22" t="s">
        <v>309</v>
      </c>
      <c r="L22" s="27" t="s">
        <v>310</v>
      </c>
      <c r="M22" s="16">
        <v>1.2999999999999999E-2</v>
      </c>
      <c r="N22" s="16">
        <v>3.0000000000000001E-3</v>
      </c>
      <c r="O22" s="32">
        <f t="shared" si="0"/>
        <v>2.5999999999999999E-2</v>
      </c>
      <c r="P22" s="32">
        <f t="shared" si="1"/>
        <v>6.0000000000000001E-3</v>
      </c>
    </row>
    <row r="23" spans="1:16" x14ac:dyDescent="0.5">
      <c r="A23">
        <v>21</v>
      </c>
      <c r="B23">
        <v>3</v>
      </c>
      <c r="C23" t="s">
        <v>275</v>
      </c>
      <c r="D23" t="s">
        <v>219</v>
      </c>
      <c r="E23" s="12" t="s">
        <v>24</v>
      </c>
      <c r="F23" t="s">
        <v>272</v>
      </c>
      <c r="G23" s="7">
        <v>603</v>
      </c>
      <c r="H23" s="7"/>
      <c r="I23" s="12" t="s">
        <v>225</v>
      </c>
      <c r="K23" t="s">
        <v>273</v>
      </c>
      <c r="L23" s="27" t="s">
        <v>274</v>
      </c>
      <c r="M23" s="16">
        <v>2.5000000000000001E-2</v>
      </c>
      <c r="N23" s="16">
        <v>4.0000000000000001E-3</v>
      </c>
      <c r="O23" s="32">
        <f t="shared" si="0"/>
        <v>7.5000000000000011E-2</v>
      </c>
      <c r="P23" s="32">
        <f t="shared" si="1"/>
        <v>1.2E-2</v>
      </c>
    </row>
    <row r="24" spans="1:16" x14ac:dyDescent="0.5">
      <c r="A24">
        <v>22</v>
      </c>
      <c r="B24">
        <v>1</v>
      </c>
      <c r="C24" t="s">
        <v>288</v>
      </c>
      <c r="D24" t="s">
        <v>113</v>
      </c>
      <c r="E24" s="12" t="s">
        <v>24</v>
      </c>
      <c r="F24" t="s">
        <v>285</v>
      </c>
      <c r="G24" s="7">
        <v>805</v>
      </c>
      <c r="H24" s="7"/>
      <c r="I24" s="12" t="s">
        <v>225</v>
      </c>
      <c r="K24" t="s">
        <v>286</v>
      </c>
      <c r="L24" s="27" t="s">
        <v>287</v>
      </c>
      <c r="M24" s="16">
        <v>3.2000000000000001E-2</v>
      </c>
      <c r="N24" s="16">
        <v>7.0000000000000001E-3</v>
      </c>
      <c r="O24" s="32">
        <f t="shared" si="0"/>
        <v>3.2000000000000001E-2</v>
      </c>
      <c r="P24" s="32">
        <f t="shared" si="1"/>
        <v>7.0000000000000001E-3</v>
      </c>
    </row>
    <row r="25" spans="1:16" x14ac:dyDescent="0.5">
      <c r="A25" s="7">
        <v>23</v>
      </c>
      <c r="B25">
        <v>2</v>
      </c>
      <c r="C25" t="s">
        <v>289</v>
      </c>
      <c r="D25" t="s">
        <v>201</v>
      </c>
      <c r="E25" s="12" t="s">
        <v>24</v>
      </c>
      <c r="F25" t="s">
        <v>290</v>
      </c>
      <c r="G25" s="7">
        <v>805</v>
      </c>
      <c r="H25" s="7"/>
      <c r="I25" s="12" t="s">
        <v>225</v>
      </c>
      <c r="K25" t="s">
        <v>292</v>
      </c>
      <c r="L25" s="27" t="s">
        <v>293</v>
      </c>
      <c r="M25" s="16">
        <v>3.5000000000000003E-2</v>
      </c>
      <c r="N25" s="16">
        <v>7.0000000000000001E-3</v>
      </c>
      <c r="O25" s="32">
        <f t="shared" si="0"/>
        <v>7.0000000000000007E-2</v>
      </c>
      <c r="P25" s="32">
        <f t="shared" si="1"/>
        <v>1.4E-2</v>
      </c>
    </row>
    <row r="26" spans="1:16" x14ac:dyDescent="0.5">
      <c r="A26">
        <v>24</v>
      </c>
      <c r="B26">
        <v>6</v>
      </c>
      <c r="C26" t="s">
        <v>314</v>
      </c>
      <c r="D26" t="s">
        <v>163</v>
      </c>
      <c r="E26" s="12" t="s">
        <v>24</v>
      </c>
      <c r="F26" t="s">
        <v>311</v>
      </c>
      <c r="G26" s="7">
        <v>402</v>
      </c>
      <c r="H26" s="7"/>
      <c r="I26" s="12" t="s">
        <v>225</v>
      </c>
      <c r="K26" t="s">
        <v>312</v>
      </c>
      <c r="L26" s="27" t="s">
        <v>313</v>
      </c>
      <c r="M26" s="16">
        <v>0.02</v>
      </c>
      <c r="N26" s="16">
        <v>4.0000000000000001E-3</v>
      </c>
      <c r="O26" s="32">
        <f t="shared" si="0"/>
        <v>0.12</v>
      </c>
      <c r="P26" s="32">
        <f t="shared" si="1"/>
        <v>2.4E-2</v>
      </c>
    </row>
    <row r="27" spans="1:16" x14ac:dyDescent="0.5">
      <c r="A27">
        <v>25</v>
      </c>
      <c r="B27">
        <v>1</v>
      </c>
      <c r="C27" t="s">
        <v>279</v>
      </c>
      <c r="D27" t="s">
        <v>214</v>
      </c>
      <c r="E27" s="12" t="s">
        <v>24</v>
      </c>
      <c r="F27" t="s">
        <v>276</v>
      </c>
      <c r="G27" s="7">
        <v>603</v>
      </c>
      <c r="H27" s="7"/>
      <c r="I27" s="12" t="s">
        <v>225</v>
      </c>
      <c r="K27" t="s">
        <v>278</v>
      </c>
      <c r="L27" s="13">
        <v>865</v>
      </c>
      <c r="M27" s="16">
        <v>2.8000000000000001E-2</v>
      </c>
      <c r="N27" s="16">
        <v>5.0000000000000001E-3</v>
      </c>
      <c r="O27" s="32">
        <f t="shared" si="0"/>
        <v>2.8000000000000001E-2</v>
      </c>
      <c r="P27" s="32">
        <f t="shared" si="1"/>
        <v>5.0000000000000001E-3</v>
      </c>
    </row>
    <row r="28" spans="1:16" s="2" customFormat="1" x14ac:dyDescent="0.5">
      <c r="A28" s="7">
        <v>26</v>
      </c>
      <c r="B28" s="2">
        <v>0</v>
      </c>
      <c r="C28" s="2" t="s">
        <v>87</v>
      </c>
      <c r="D28" s="2" t="s">
        <v>120</v>
      </c>
      <c r="G28" s="10">
        <v>402</v>
      </c>
      <c r="H28" s="10"/>
      <c r="J28" s="19"/>
      <c r="M28" s="23"/>
      <c r="N28" s="23"/>
      <c r="O28" s="32">
        <f t="shared" si="0"/>
        <v>0</v>
      </c>
      <c r="P28" s="32">
        <f t="shared" si="1"/>
        <v>0</v>
      </c>
    </row>
    <row r="29" spans="1:16" s="2" customFormat="1" x14ac:dyDescent="0.5">
      <c r="A29">
        <v>27</v>
      </c>
      <c r="B29" s="2">
        <v>0</v>
      </c>
      <c r="C29" s="2" t="s">
        <v>87</v>
      </c>
      <c r="D29" s="2" t="s">
        <v>122</v>
      </c>
      <c r="G29" s="2">
        <v>603</v>
      </c>
      <c r="J29" s="19"/>
      <c r="M29" s="23"/>
      <c r="N29" s="23"/>
      <c r="O29" s="32">
        <f t="shared" si="0"/>
        <v>0</v>
      </c>
      <c r="P29" s="32">
        <f t="shared" si="1"/>
        <v>0</v>
      </c>
    </row>
    <row r="30" spans="1:16" x14ac:dyDescent="0.5">
      <c r="A30">
        <v>28</v>
      </c>
      <c r="B30">
        <v>3</v>
      </c>
      <c r="C30" t="s">
        <v>15</v>
      </c>
      <c r="D30" t="s">
        <v>192</v>
      </c>
      <c r="E30" s="12" t="s">
        <v>24</v>
      </c>
      <c r="F30" t="s">
        <v>277</v>
      </c>
      <c r="G30" s="7">
        <v>603</v>
      </c>
      <c r="H30" s="7"/>
      <c r="I30" s="12" t="s">
        <v>225</v>
      </c>
      <c r="K30" t="s">
        <v>283</v>
      </c>
      <c r="L30" s="27" t="s">
        <v>284</v>
      </c>
      <c r="M30" s="16">
        <v>1.2E-2</v>
      </c>
      <c r="N30" s="16">
        <v>4.0000000000000001E-3</v>
      </c>
      <c r="O30" s="32">
        <f t="shared" si="0"/>
        <v>3.6000000000000004E-2</v>
      </c>
      <c r="P30" s="32">
        <f t="shared" si="1"/>
        <v>1.2E-2</v>
      </c>
    </row>
    <row r="31" spans="1:16" x14ac:dyDescent="0.5">
      <c r="A31" s="7">
        <v>29</v>
      </c>
      <c r="B31">
        <v>4</v>
      </c>
      <c r="C31" t="s">
        <v>327</v>
      </c>
      <c r="D31" t="s">
        <v>119</v>
      </c>
      <c r="E31" s="12" t="s">
        <v>24</v>
      </c>
      <c r="F31" t="s">
        <v>328</v>
      </c>
      <c r="G31" s="7">
        <v>402</v>
      </c>
      <c r="H31" s="7"/>
      <c r="I31" s="12" t="s">
        <v>225</v>
      </c>
      <c r="K31" t="s">
        <v>330</v>
      </c>
      <c r="L31" s="27" t="s">
        <v>329</v>
      </c>
      <c r="M31" s="16">
        <v>5.5E-2</v>
      </c>
      <c r="N31" s="16">
        <v>1.0999999999999999E-2</v>
      </c>
      <c r="O31" s="32">
        <f t="shared" si="0"/>
        <v>0.22</v>
      </c>
      <c r="P31" s="32">
        <f t="shared" si="1"/>
        <v>4.3999999999999997E-2</v>
      </c>
    </row>
    <row r="32" spans="1:16" x14ac:dyDescent="0.5">
      <c r="A32">
        <v>30</v>
      </c>
      <c r="B32">
        <v>1</v>
      </c>
      <c r="C32" t="s">
        <v>321</v>
      </c>
      <c r="D32" t="s">
        <v>114</v>
      </c>
      <c r="E32" s="12" t="s">
        <v>24</v>
      </c>
      <c r="F32" t="s">
        <v>301</v>
      </c>
      <c r="G32" s="7">
        <v>402</v>
      </c>
      <c r="H32" s="7"/>
      <c r="I32" s="12" t="s">
        <v>225</v>
      </c>
      <c r="K32" t="s">
        <v>315</v>
      </c>
      <c r="L32" s="27" t="s">
        <v>316</v>
      </c>
      <c r="M32" s="16">
        <v>1.9E-2</v>
      </c>
      <c r="N32" s="16">
        <v>4.0000000000000001E-3</v>
      </c>
      <c r="O32" s="32">
        <f t="shared" si="0"/>
        <v>1.9E-2</v>
      </c>
      <c r="P32" s="32">
        <f t="shared" si="1"/>
        <v>4.0000000000000001E-3</v>
      </c>
    </row>
    <row r="33" spans="1:18" x14ac:dyDescent="0.5">
      <c r="A33">
        <v>31</v>
      </c>
      <c r="B33">
        <v>1</v>
      </c>
      <c r="C33" t="s">
        <v>322</v>
      </c>
      <c r="D33" t="s">
        <v>115</v>
      </c>
      <c r="E33" s="12" t="s">
        <v>24</v>
      </c>
      <c r="F33" t="s">
        <v>291</v>
      </c>
      <c r="G33" s="7">
        <v>402</v>
      </c>
      <c r="H33" s="7"/>
      <c r="I33" s="12" t="s">
        <v>225</v>
      </c>
      <c r="K33" t="s">
        <v>317</v>
      </c>
      <c r="L33" s="27" t="s">
        <v>318</v>
      </c>
      <c r="M33" s="16">
        <v>1.9E-2</v>
      </c>
      <c r="N33" s="16">
        <v>4.0000000000000001E-3</v>
      </c>
      <c r="O33" s="32">
        <f t="shared" si="0"/>
        <v>1.9E-2</v>
      </c>
      <c r="P33" s="32">
        <f t="shared" si="1"/>
        <v>4.0000000000000001E-3</v>
      </c>
    </row>
    <row r="34" spans="1:18" x14ac:dyDescent="0.5">
      <c r="A34" s="7">
        <v>32</v>
      </c>
      <c r="B34">
        <v>1</v>
      </c>
      <c r="C34" t="s">
        <v>323</v>
      </c>
      <c r="D34" t="s">
        <v>116</v>
      </c>
      <c r="E34" s="12" t="s">
        <v>29</v>
      </c>
      <c r="F34" t="s">
        <v>319</v>
      </c>
      <c r="G34" s="7">
        <v>402</v>
      </c>
      <c r="H34" s="7"/>
      <c r="I34" s="12" t="s">
        <v>225</v>
      </c>
      <c r="K34" t="s">
        <v>320</v>
      </c>
      <c r="L34" s="27" t="s">
        <v>266</v>
      </c>
      <c r="M34" s="16">
        <v>8.7999999999999995E-2</v>
      </c>
      <c r="N34" s="16">
        <v>1.6E-2</v>
      </c>
      <c r="O34" s="32">
        <f t="shared" si="0"/>
        <v>8.7999999999999995E-2</v>
      </c>
      <c r="P34" s="32">
        <f t="shared" si="1"/>
        <v>1.6E-2</v>
      </c>
    </row>
    <row r="35" spans="1:18" x14ac:dyDescent="0.5">
      <c r="A35">
        <v>33</v>
      </c>
      <c r="B35">
        <v>1</v>
      </c>
      <c r="C35" t="s">
        <v>100</v>
      </c>
      <c r="D35" t="s">
        <v>117</v>
      </c>
      <c r="E35" s="12" t="s">
        <v>29</v>
      </c>
      <c r="F35" t="s">
        <v>331</v>
      </c>
      <c r="G35" s="7">
        <v>603</v>
      </c>
      <c r="H35" s="7"/>
      <c r="I35" s="12" t="s">
        <v>225</v>
      </c>
      <c r="K35" t="s">
        <v>332</v>
      </c>
      <c r="L35" s="27">
        <v>640</v>
      </c>
      <c r="M35" s="16">
        <v>0.22800000000000001</v>
      </c>
      <c r="N35" s="16">
        <v>0.13400000000000001</v>
      </c>
      <c r="O35" s="32">
        <f t="shared" si="0"/>
        <v>0.22800000000000001</v>
      </c>
      <c r="P35" s="32">
        <f t="shared" si="1"/>
        <v>0.13400000000000001</v>
      </c>
    </row>
    <row r="36" spans="1:18" s="2" customFormat="1" x14ac:dyDescent="0.5">
      <c r="A36">
        <v>34</v>
      </c>
      <c r="B36">
        <v>1</v>
      </c>
      <c r="C36" t="s">
        <v>95</v>
      </c>
      <c r="D36" t="s">
        <v>1</v>
      </c>
      <c r="E36" s="12" t="s">
        <v>27</v>
      </c>
      <c r="F36" t="s">
        <v>333</v>
      </c>
      <c r="G36">
        <v>603</v>
      </c>
      <c r="H36"/>
      <c r="I36" s="12" t="s">
        <v>225</v>
      </c>
      <c r="J36" s="19"/>
      <c r="K36" t="s">
        <v>334</v>
      </c>
      <c r="L36" s="27" t="s">
        <v>335</v>
      </c>
      <c r="M36" s="16">
        <v>9.7000000000000003E-2</v>
      </c>
      <c r="N36" s="16">
        <v>0.06</v>
      </c>
      <c r="O36" s="32">
        <f t="shared" si="0"/>
        <v>9.7000000000000003E-2</v>
      </c>
      <c r="P36" s="32">
        <f t="shared" si="1"/>
        <v>0.06</v>
      </c>
    </row>
    <row r="37" spans="1:18" x14ac:dyDescent="0.5">
      <c r="A37" s="7">
        <v>35</v>
      </c>
      <c r="B37">
        <v>1</v>
      </c>
      <c r="C37" t="s">
        <v>41</v>
      </c>
      <c r="D37" s="7" t="s">
        <v>2</v>
      </c>
      <c r="E37" t="s">
        <v>37</v>
      </c>
      <c r="F37" t="s">
        <v>38</v>
      </c>
      <c r="G37" t="s">
        <v>40</v>
      </c>
      <c r="H37" t="s">
        <v>173</v>
      </c>
      <c r="K37" t="s">
        <v>39</v>
      </c>
      <c r="L37" s="27" t="s">
        <v>266</v>
      </c>
      <c r="M37" s="16">
        <v>1.32</v>
      </c>
      <c r="N37" s="16">
        <v>1.04</v>
      </c>
      <c r="O37" s="32">
        <f t="shared" si="0"/>
        <v>1.32</v>
      </c>
      <c r="P37" s="32">
        <f t="shared" si="1"/>
        <v>1.04</v>
      </c>
    </row>
    <row r="38" spans="1:18" s="4" customFormat="1" x14ac:dyDescent="0.5">
      <c r="M38" s="5"/>
      <c r="N38" s="5"/>
      <c r="O38" s="33"/>
      <c r="P38" s="33"/>
    </row>
    <row r="39" spans="1:18" x14ac:dyDescent="0.5">
      <c r="A39">
        <v>36</v>
      </c>
      <c r="B39">
        <v>1</v>
      </c>
      <c r="C39" t="s">
        <v>139</v>
      </c>
      <c r="D39" t="s">
        <v>12</v>
      </c>
      <c r="E39" t="s">
        <v>141</v>
      </c>
      <c r="F39" t="s">
        <v>140</v>
      </c>
      <c r="G39" t="s">
        <v>107</v>
      </c>
      <c r="K39" t="s">
        <v>142</v>
      </c>
      <c r="L39" s="14">
        <v>44601</v>
      </c>
      <c r="M39" s="16">
        <v>1.45</v>
      </c>
      <c r="N39" s="16">
        <v>1.3</v>
      </c>
      <c r="O39" s="32">
        <f t="shared" si="0"/>
        <v>1.45</v>
      </c>
      <c r="P39" s="32">
        <f t="shared" si="1"/>
        <v>1.3</v>
      </c>
      <c r="Q39" s="7"/>
    </row>
    <row r="40" spans="1:18" x14ac:dyDescent="0.5">
      <c r="A40">
        <v>37</v>
      </c>
      <c r="B40">
        <v>3</v>
      </c>
      <c r="C40" s="9" t="s">
        <v>73</v>
      </c>
      <c r="D40" t="s">
        <v>213</v>
      </c>
      <c r="E40" s="9" t="s">
        <v>28</v>
      </c>
      <c r="F40" s="11" t="s">
        <v>70</v>
      </c>
      <c r="G40" s="7" t="s">
        <v>71</v>
      </c>
      <c r="H40" s="7" t="s">
        <v>174</v>
      </c>
      <c r="I40" s="7"/>
      <c r="K40" s="9" t="s">
        <v>72</v>
      </c>
      <c r="L40" s="27" t="s">
        <v>310</v>
      </c>
      <c r="M40" s="22">
        <v>1.79</v>
      </c>
      <c r="N40" s="22">
        <v>0.91500000000000004</v>
      </c>
      <c r="O40" s="32">
        <f t="shared" si="0"/>
        <v>5.37</v>
      </c>
      <c r="P40" s="32">
        <f t="shared" si="1"/>
        <v>2.7450000000000001</v>
      </c>
      <c r="Q40" s="7"/>
    </row>
    <row r="41" spans="1:18" x14ac:dyDescent="0.5">
      <c r="A41">
        <v>38</v>
      </c>
      <c r="B41">
        <v>1</v>
      </c>
      <c r="C41" t="s">
        <v>356</v>
      </c>
      <c r="D41" t="s">
        <v>358</v>
      </c>
      <c r="E41" s="7" t="s">
        <v>58</v>
      </c>
      <c r="F41" s="7" t="s">
        <v>355</v>
      </c>
      <c r="G41" s="7" t="s">
        <v>83</v>
      </c>
      <c r="H41" s="12"/>
      <c r="K41" t="s">
        <v>357</v>
      </c>
      <c r="L41" s="21">
        <v>2600</v>
      </c>
      <c r="M41" s="16">
        <v>0.35899999999999999</v>
      </c>
      <c r="N41" s="16">
        <v>0.11</v>
      </c>
      <c r="O41" s="32">
        <f>B41*M41</f>
        <v>0.35899999999999999</v>
      </c>
      <c r="P41" s="32">
        <f>B41*N41</f>
        <v>0.11</v>
      </c>
      <c r="Q41" s="7"/>
      <c r="R41" s="35"/>
    </row>
    <row r="42" spans="1:18" x14ac:dyDescent="0.5">
      <c r="A42">
        <v>39</v>
      </c>
      <c r="B42">
        <v>2</v>
      </c>
      <c r="C42" s="9" t="s">
        <v>57</v>
      </c>
      <c r="D42" t="s">
        <v>221</v>
      </c>
      <c r="E42" s="9" t="s">
        <v>55</v>
      </c>
      <c r="F42" s="11" t="s">
        <v>54</v>
      </c>
      <c r="G42" s="9"/>
      <c r="H42" t="s">
        <v>170</v>
      </c>
      <c r="I42" s="9"/>
      <c r="J42" s="20"/>
      <c r="K42" s="9" t="s">
        <v>56</v>
      </c>
      <c r="L42" s="14">
        <v>44627</v>
      </c>
      <c r="M42" s="24">
        <v>1.88</v>
      </c>
      <c r="N42" s="24">
        <v>1.27</v>
      </c>
      <c r="O42" s="32">
        <f t="shared" si="0"/>
        <v>3.76</v>
      </c>
      <c r="P42" s="32">
        <f t="shared" si="1"/>
        <v>2.54</v>
      </c>
      <c r="Q42" s="34"/>
      <c r="R42" t="s">
        <v>354</v>
      </c>
    </row>
    <row r="43" spans="1:18" x14ac:dyDescent="0.5">
      <c r="A43">
        <v>40</v>
      </c>
      <c r="B43">
        <v>1</v>
      </c>
      <c r="C43" s="7" t="s">
        <v>68</v>
      </c>
      <c r="D43" t="s">
        <v>125</v>
      </c>
      <c r="E43" s="7" t="s">
        <v>30</v>
      </c>
      <c r="F43" s="7" t="s">
        <v>65</v>
      </c>
      <c r="G43" s="7" t="s">
        <v>66</v>
      </c>
      <c r="H43" s="7"/>
      <c r="I43" s="7"/>
      <c r="K43" s="7" t="s">
        <v>67</v>
      </c>
      <c r="L43" s="21">
        <v>1280</v>
      </c>
      <c r="M43" s="16">
        <v>0.75900000000000001</v>
      </c>
      <c r="N43" s="16">
        <v>0.33200000000000002</v>
      </c>
      <c r="O43" s="32">
        <f t="shared" si="0"/>
        <v>0.75900000000000001</v>
      </c>
      <c r="P43" s="32">
        <f t="shared" si="1"/>
        <v>0.33200000000000002</v>
      </c>
      <c r="Q43" s="7"/>
    </row>
    <row r="44" spans="1:18" x14ac:dyDescent="0.5">
      <c r="A44">
        <v>41</v>
      </c>
      <c r="B44">
        <v>1</v>
      </c>
      <c r="C44" s="7" t="s">
        <v>69</v>
      </c>
      <c r="D44" t="s">
        <v>126</v>
      </c>
      <c r="E44" s="7" t="s">
        <v>30</v>
      </c>
      <c r="F44" s="7" t="s">
        <v>62</v>
      </c>
      <c r="G44" s="7" t="s">
        <v>63</v>
      </c>
      <c r="H44" s="7"/>
      <c r="I44" s="7"/>
      <c r="K44" s="7" t="s">
        <v>64</v>
      </c>
      <c r="L44" s="21">
        <v>7000</v>
      </c>
      <c r="M44" s="16">
        <v>0.63700000000000001</v>
      </c>
      <c r="N44" s="16">
        <v>0.309</v>
      </c>
      <c r="O44" s="32">
        <f t="shared" si="0"/>
        <v>0.63700000000000001</v>
      </c>
      <c r="P44" s="32">
        <f t="shared" si="1"/>
        <v>0.309</v>
      </c>
      <c r="Q44" s="7"/>
    </row>
    <row r="45" spans="1:18" x14ac:dyDescent="0.5">
      <c r="A45">
        <v>42</v>
      </c>
      <c r="B45">
        <v>4</v>
      </c>
      <c r="C45" s="7" t="s">
        <v>59</v>
      </c>
      <c r="D45" t="s">
        <v>123</v>
      </c>
      <c r="E45" s="7" t="s">
        <v>58</v>
      </c>
      <c r="F45" s="7" t="s">
        <v>59</v>
      </c>
      <c r="G45" s="7" t="s">
        <v>60</v>
      </c>
      <c r="H45" s="7"/>
      <c r="I45" s="7"/>
      <c r="K45" s="7" t="s">
        <v>61</v>
      </c>
      <c r="L45" s="14">
        <v>44764</v>
      </c>
      <c r="M45" s="16">
        <v>0.35399999999999998</v>
      </c>
      <c r="N45" s="16">
        <v>0.161</v>
      </c>
      <c r="O45" s="32">
        <f t="shared" si="0"/>
        <v>1.4159999999999999</v>
      </c>
      <c r="P45" s="32">
        <f t="shared" si="1"/>
        <v>0.64400000000000002</v>
      </c>
      <c r="Q45" s="7"/>
    </row>
    <row r="46" spans="1:18" x14ac:dyDescent="0.5">
      <c r="A46">
        <v>43</v>
      </c>
      <c r="B46">
        <v>1</v>
      </c>
      <c r="C46" s="7" t="s">
        <v>96</v>
      </c>
      <c r="D46" t="s">
        <v>127</v>
      </c>
      <c r="E46" s="7" t="s">
        <v>144</v>
      </c>
      <c r="F46" s="7" t="s">
        <v>96</v>
      </c>
      <c r="G46" t="s">
        <v>108</v>
      </c>
      <c r="H46" t="s">
        <v>350</v>
      </c>
      <c r="K46" s="7" t="s">
        <v>143</v>
      </c>
      <c r="L46" s="31" t="s">
        <v>335</v>
      </c>
      <c r="M46" s="16">
        <v>3.53</v>
      </c>
      <c r="N46" s="16">
        <v>2.97</v>
      </c>
      <c r="O46" s="32">
        <f t="shared" si="0"/>
        <v>3.53</v>
      </c>
      <c r="P46" s="32">
        <f t="shared" si="1"/>
        <v>2.97</v>
      </c>
      <c r="Q46" s="7"/>
    </row>
    <row r="47" spans="1:18" x14ac:dyDescent="0.5">
      <c r="A47">
        <v>44</v>
      </c>
      <c r="B47">
        <v>2</v>
      </c>
      <c r="C47" s="7" t="s">
        <v>97</v>
      </c>
      <c r="D47" t="s">
        <v>124</v>
      </c>
      <c r="E47" s="7" t="s">
        <v>30</v>
      </c>
      <c r="F47" s="7" t="s">
        <v>147</v>
      </c>
      <c r="G47" t="s">
        <v>44</v>
      </c>
      <c r="K47" s="7" t="s">
        <v>148</v>
      </c>
      <c r="L47" s="21">
        <v>1800</v>
      </c>
      <c r="M47" s="16">
        <v>0.41799999999999998</v>
      </c>
      <c r="N47" s="16">
        <v>0.19</v>
      </c>
      <c r="O47" s="32">
        <f t="shared" si="0"/>
        <v>0.83599999999999997</v>
      </c>
      <c r="P47" s="32">
        <f t="shared" si="1"/>
        <v>0.38</v>
      </c>
      <c r="Q47" s="7"/>
    </row>
    <row r="48" spans="1:18" s="2" customFormat="1" x14ac:dyDescent="0.5">
      <c r="A48">
        <v>45</v>
      </c>
      <c r="B48" s="2">
        <v>0</v>
      </c>
      <c r="C48" s="10" t="s">
        <v>97</v>
      </c>
      <c r="D48" s="2" t="s">
        <v>152</v>
      </c>
      <c r="E48" s="10" t="s">
        <v>30</v>
      </c>
      <c r="F48" s="10" t="s">
        <v>145</v>
      </c>
      <c r="G48" s="2" t="s">
        <v>44</v>
      </c>
      <c r="J48" s="19"/>
      <c r="K48" s="10" t="s">
        <v>146</v>
      </c>
      <c r="L48" s="18">
        <v>44809</v>
      </c>
      <c r="M48" s="23">
        <v>0.35099999999999998</v>
      </c>
      <c r="N48" s="23">
        <v>0.18</v>
      </c>
      <c r="O48" s="32">
        <f t="shared" si="0"/>
        <v>0</v>
      </c>
      <c r="P48" s="32">
        <f t="shared" si="1"/>
        <v>0</v>
      </c>
      <c r="Q48" s="10"/>
    </row>
    <row r="49" spans="1:18" x14ac:dyDescent="0.5">
      <c r="A49" s="7">
        <v>46</v>
      </c>
      <c r="B49">
        <v>1</v>
      </c>
      <c r="C49" s="7" t="s">
        <v>364</v>
      </c>
      <c r="D49" t="s">
        <v>128</v>
      </c>
      <c r="E49" s="7" t="s">
        <v>141</v>
      </c>
      <c r="F49" s="7" t="s">
        <v>367</v>
      </c>
      <c r="G49" t="s">
        <v>365</v>
      </c>
      <c r="H49" t="s">
        <v>171</v>
      </c>
      <c r="K49" s="7" t="s">
        <v>368</v>
      </c>
      <c r="L49" s="21">
        <v>13</v>
      </c>
      <c r="M49" s="16">
        <v>13.89</v>
      </c>
      <c r="N49" s="16">
        <v>13.89</v>
      </c>
      <c r="O49" s="32">
        <f t="shared" si="0"/>
        <v>13.89</v>
      </c>
      <c r="P49" s="32">
        <f t="shared" si="1"/>
        <v>13.89</v>
      </c>
      <c r="Q49" s="7"/>
    </row>
    <row r="50" spans="1:18" x14ac:dyDescent="0.5">
      <c r="A50">
        <v>47</v>
      </c>
      <c r="B50">
        <v>1</v>
      </c>
      <c r="C50" t="s">
        <v>149</v>
      </c>
      <c r="D50" t="s">
        <v>129</v>
      </c>
      <c r="E50" s="7" t="s">
        <v>47</v>
      </c>
      <c r="F50" s="7" t="s">
        <v>46</v>
      </c>
      <c r="G50" t="s">
        <v>49</v>
      </c>
      <c r="H50" s="12" t="s">
        <v>351</v>
      </c>
      <c r="K50" t="s">
        <v>48</v>
      </c>
      <c r="L50" s="14">
        <v>44631</v>
      </c>
      <c r="M50" s="16">
        <v>0.72599999999999998</v>
      </c>
      <c r="N50" s="16">
        <v>0.42399999999999999</v>
      </c>
      <c r="O50" s="32">
        <f t="shared" si="0"/>
        <v>0.72599999999999998</v>
      </c>
      <c r="P50" s="32">
        <f t="shared" si="1"/>
        <v>0.42399999999999999</v>
      </c>
      <c r="Q50" s="7"/>
      <c r="R50" s="35"/>
    </row>
    <row r="51" spans="1:18" s="4" customFormat="1" x14ac:dyDescent="0.5">
      <c r="M51" s="25"/>
      <c r="N51" s="25"/>
      <c r="O51" s="33"/>
      <c r="P51" s="33"/>
    </row>
    <row r="52" spans="1:18" x14ac:dyDescent="0.5">
      <c r="A52">
        <v>48</v>
      </c>
      <c r="B52">
        <v>2</v>
      </c>
      <c r="C52" s="7" t="s">
        <v>155</v>
      </c>
      <c r="D52" t="s">
        <v>130</v>
      </c>
      <c r="E52" s="7" t="s">
        <v>58</v>
      </c>
      <c r="F52" s="7" t="s">
        <v>155</v>
      </c>
      <c r="G52" t="s">
        <v>109</v>
      </c>
      <c r="I52" t="s">
        <v>86</v>
      </c>
      <c r="K52" t="s">
        <v>156</v>
      </c>
      <c r="L52" s="21">
        <v>3700</v>
      </c>
      <c r="M52" s="16">
        <v>0.36299999999999999</v>
      </c>
      <c r="N52" s="16">
        <v>0.13900000000000001</v>
      </c>
      <c r="O52" s="32">
        <f t="shared" si="0"/>
        <v>0.72599999999999998</v>
      </c>
      <c r="P52" s="32">
        <f t="shared" si="1"/>
        <v>0.27800000000000002</v>
      </c>
    </row>
    <row r="53" spans="1:18" x14ac:dyDescent="0.5">
      <c r="A53">
        <v>49</v>
      </c>
      <c r="B53">
        <v>3</v>
      </c>
      <c r="C53" t="s">
        <v>158</v>
      </c>
      <c r="D53" t="s">
        <v>220</v>
      </c>
      <c r="E53" s="7" t="s">
        <v>58</v>
      </c>
      <c r="F53" t="s">
        <v>158</v>
      </c>
      <c r="G53" t="s">
        <v>109</v>
      </c>
      <c r="I53" t="s">
        <v>86</v>
      </c>
      <c r="K53" t="s">
        <v>157</v>
      </c>
      <c r="L53" s="14">
        <v>44783</v>
      </c>
      <c r="M53" s="16">
        <v>0.28100000000000003</v>
      </c>
      <c r="N53" s="16">
        <v>9.2999999999999999E-2</v>
      </c>
      <c r="O53" s="32">
        <f t="shared" si="0"/>
        <v>0.84300000000000008</v>
      </c>
      <c r="P53" s="32">
        <f t="shared" si="1"/>
        <v>0.27900000000000003</v>
      </c>
    </row>
    <row r="54" spans="1:18" x14ac:dyDescent="0.5">
      <c r="A54">
        <v>50</v>
      </c>
      <c r="B54">
        <v>3</v>
      </c>
      <c r="C54" s="7" t="s">
        <v>101</v>
      </c>
      <c r="D54" t="s">
        <v>196</v>
      </c>
      <c r="E54" s="7" t="s">
        <v>58</v>
      </c>
      <c r="F54" s="7" t="s">
        <v>336</v>
      </c>
      <c r="G54" t="s">
        <v>110</v>
      </c>
      <c r="I54" t="s">
        <v>86</v>
      </c>
      <c r="K54" t="s">
        <v>337</v>
      </c>
      <c r="L54" s="31" t="s">
        <v>338</v>
      </c>
      <c r="M54" s="16">
        <v>0.28799999999999998</v>
      </c>
      <c r="N54" s="16">
        <v>0.109</v>
      </c>
      <c r="O54" s="32">
        <f t="shared" si="0"/>
        <v>0.86399999999999988</v>
      </c>
      <c r="P54" s="32">
        <f t="shared" si="1"/>
        <v>0.32700000000000001</v>
      </c>
    </row>
    <row r="55" spans="1:18" s="7" customFormat="1" x14ac:dyDescent="0.5">
      <c r="A55">
        <v>51</v>
      </c>
      <c r="B55" s="7">
        <v>1</v>
      </c>
      <c r="C55" s="7" t="s">
        <v>207</v>
      </c>
      <c r="D55" s="7" t="s">
        <v>131</v>
      </c>
      <c r="E55" s="7" t="s">
        <v>58</v>
      </c>
      <c r="F55" s="7" t="s">
        <v>205</v>
      </c>
      <c r="G55" s="7" t="s">
        <v>83</v>
      </c>
      <c r="I55" s="7" t="s">
        <v>86</v>
      </c>
      <c r="J55" s="4"/>
      <c r="K55" s="7" t="s">
        <v>206</v>
      </c>
      <c r="L55" s="31" t="s">
        <v>339</v>
      </c>
      <c r="M55" s="22">
        <v>0.17499999999999999</v>
      </c>
      <c r="N55" s="22">
        <v>3.9E-2</v>
      </c>
      <c r="O55" s="32">
        <f t="shared" si="0"/>
        <v>0.17499999999999999</v>
      </c>
      <c r="P55" s="32">
        <f t="shared" si="1"/>
        <v>3.9E-2</v>
      </c>
    </row>
    <row r="56" spans="1:18" x14ac:dyDescent="0.5">
      <c r="A56">
        <v>52</v>
      </c>
      <c r="B56">
        <v>1</v>
      </c>
      <c r="C56" t="s">
        <v>102</v>
      </c>
      <c r="D56" t="s">
        <v>132</v>
      </c>
      <c r="E56" s="7" t="s">
        <v>26</v>
      </c>
      <c r="F56" s="7" t="s">
        <v>10</v>
      </c>
      <c r="G56" s="7">
        <v>603</v>
      </c>
      <c r="H56" s="7"/>
      <c r="I56" s="7"/>
      <c r="K56" s="7" t="s">
        <v>159</v>
      </c>
      <c r="L56" s="31" t="s">
        <v>340</v>
      </c>
      <c r="M56" s="22">
        <v>0.126</v>
      </c>
      <c r="N56" s="22">
        <v>8.5000000000000006E-2</v>
      </c>
      <c r="O56" s="32">
        <f t="shared" si="0"/>
        <v>0.126</v>
      </c>
      <c r="P56" s="32">
        <f t="shared" si="1"/>
        <v>8.5000000000000006E-2</v>
      </c>
    </row>
    <row r="57" spans="1:18" x14ac:dyDescent="0.5">
      <c r="A57">
        <v>53</v>
      </c>
      <c r="B57">
        <v>1</v>
      </c>
      <c r="C57" t="s">
        <v>103</v>
      </c>
      <c r="D57" t="s">
        <v>133</v>
      </c>
      <c r="E57" s="7" t="s">
        <v>26</v>
      </c>
      <c r="F57" s="7" t="s">
        <v>161</v>
      </c>
      <c r="G57" s="7">
        <v>603</v>
      </c>
      <c r="H57" s="7"/>
      <c r="I57" s="7"/>
      <c r="K57" s="7" t="s">
        <v>162</v>
      </c>
      <c r="L57" s="31" t="s">
        <v>341</v>
      </c>
      <c r="M57" s="16">
        <v>0.13600000000000001</v>
      </c>
      <c r="N57" s="22">
        <v>8.5000000000000006E-2</v>
      </c>
      <c r="O57" s="32">
        <f t="shared" si="0"/>
        <v>0.13600000000000001</v>
      </c>
      <c r="P57" s="32">
        <f t="shared" si="1"/>
        <v>8.5000000000000006E-2</v>
      </c>
    </row>
    <row r="58" spans="1:18" x14ac:dyDescent="0.5">
      <c r="A58">
        <v>54</v>
      </c>
      <c r="B58">
        <v>1</v>
      </c>
      <c r="C58" t="s">
        <v>104</v>
      </c>
      <c r="D58" t="s">
        <v>134</v>
      </c>
      <c r="E58" s="7" t="s">
        <v>26</v>
      </c>
      <c r="F58" s="7" t="s">
        <v>11</v>
      </c>
      <c r="G58" s="7">
        <v>603</v>
      </c>
      <c r="H58" s="7"/>
      <c r="I58" s="7"/>
      <c r="K58" s="7" t="s">
        <v>160</v>
      </c>
      <c r="L58" s="31" t="s">
        <v>342</v>
      </c>
      <c r="M58" s="22">
        <v>0.126</v>
      </c>
      <c r="N58" s="22">
        <v>8.5000000000000006E-2</v>
      </c>
      <c r="O58" s="32">
        <f t="shared" si="0"/>
        <v>0.126</v>
      </c>
      <c r="P58" s="32">
        <f t="shared" si="1"/>
        <v>8.5000000000000006E-2</v>
      </c>
    </row>
    <row r="59" spans="1:18" x14ac:dyDescent="0.5">
      <c r="A59">
        <v>55</v>
      </c>
      <c r="B59">
        <v>1</v>
      </c>
      <c r="C59" t="s">
        <v>105</v>
      </c>
      <c r="D59" t="s">
        <v>135</v>
      </c>
      <c r="E59" t="s">
        <v>35</v>
      </c>
      <c r="F59" t="s">
        <v>154</v>
      </c>
      <c r="G59" t="s">
        <v>83</v>
      </c>
      <c r="H59" t="s">
        <v>352</v>
      </c>
      <c r="I59" t="s">
        <v>86</v>
      </c>
      <c r="K59" t="s">
        <v>153</v>
      </c>
      <c r="L59" s="31" t="s">
        <v>343</v>
      </c>
      <c r="M59" s="16">
        <v>0.114</v>
      </c>
      <c r="N59" s="16">
        <v>3.1E-2</v>
      </c>
      <c r="O59" s="32">
        <f t="shared" si="0"/>
        <v>0.114</v>
      </c>
      <c r="P59" s="32">
        <f t="shared" si="1"/>
        <v>3.1E-2</v>
      </c>
    </row>
    <row r="60" spans="1:18" s="7" customFormat="1" x14ac:dyDescent="0.5">
      <c r="A60">
        <v>56</v>
      </c>
      <c r="B60" s="7">
        <v>2</v>
      </c>
      <c r="C60" s="7" t="s">
        <v>198</v>
      </c>
      <c r="D60" s="7" t="s">
        <v>197</v>
      </c>
      <c r="E60" s="7" t="s">
        <v>58</v>
      </c>
      <c r="F60" s="7" t="s">
        <v>208</v>
      </c>
      <c r="G60" s="7" t="s">
        <v>83</v>
      </c>
      <c r="H60"/>
      <c r="I60" s="7" t="s">
        <v>86</v>
      </c>
      <c r="J60" s="4"/>
      <c r="K60" s="7" t="s">
        <v>209</v>
      </c>
      <c r="L60" s="27" t="s">
        <v>266</v>
      </c>
      <c r="M60" s="22">
        <v>0.17499999999999999</v>
      </c>
      <c r="N60" s="22">
        <v>3.9E-2</v>
      </c>
      <c r="O60" s="32">
        <f t="shared" si="0"/>
        <v>0.35</v>
      </c>
      <c r="P60" s="32">
        <f t="shared" si="1"/>
        <v>7.8E-2</v>
      </c>
    </row>
    <row r="61" spans="1:18" s="4" customFormat="1" x14ac:dyDescent="0.5">
      <c r="M61" s="25"/>
      <c r="N61" s="25"/>
      <c r="O61" s="33"/>
      <c r="P61" s="33"/>
    </row>
    <row r="62" spans="1:18" s="7" customFormat="1" x14ac:dyDescent="0.5">
      <c r="A62" s="17">
        <v>57</v>
      </c>
      <c r="B62" s="17">
        <v>1</v>
      </c>
      <c r="C62" s="17" t="s">
        <v>216</v>
      </c>
      <c r="D62" s="17" t="s">
        <v>43</v>
      </c>
      <c r="E62" s="17" t="s">
        <v>31</v>
      </c>
      <c r="F62" s="7" t="s">
        <v>82</v>
      </c>
      <c r="G62" s="7" t="s">
        <v>83</v>
      </c>
      <c r="I62" s="7" t="s">
        <v>86</v>
      </c>
      <c r="J62" s="4"/>
      <c r="K62" s="17" t="s">
        <v>84</v>
      </c>
      <c r="L62" s="21">
        <v>500</v>
      </c>
      <c r="M62" s="22">
        <v>0.29399999999999998</v>
      </c>
      <c r="N62" s="22">
        <v>9.7000000000000003E-2</v>
      </c>
      <c r="O62" s="32">
        <f t="shared" si="0"/>
        <v>0.29399999999999998</v>
      </c>
      <c r="P62" s="32">
        <f t="shared" si="1"/>
        <v>9.7000000000000003E-2</v>
      </c>
    </row>
    <row r="63" spans="1:18" s="7" customFormat="1" x14ac:dyDescent="0.5">
      <c r="A63" s="17">
        <v>58</v>
      </c>
      <c r="B63" s="7">
        <v>1</v>
      </c>
      <c r="C63" s="7" t="s">
        <v>218</v>
      </c>
      <c r="D63" s="7" t="s">
        <v>45</v>
      </c>
      <c r="E63" s="17" t="s">
        <v>28</v>
      </c>
      <c r="F63" s="9" t="s">
        <v>215</v>
      </c>
      <c r="G63" s="7" t="s">
        <v>83</v>
      </c>
      <c r="H63" s="9"/>
      <c r="J63" s="4"/>
      <c r="K63" s="7" t="s">
        <v>217</v>
      </c>
      <c r="L63" s="31" t="s">
        <v>344</v>
      </c>
      <c r="M63" s="22">
        <v>0.441</v>
      </c>
      <c r="N63" s="22">
        <v>0.26</v>
      </c>
      <c r="O63" s="32">
        <f t="shared" si="0"/>
        <v>0.441</v>
      </c>
      <c r="P63" s="32">
        <f t="shared" si="1"/>
        <v>0.26</v>
      </c>
    </row>
    <row r="64" spans="1:18" s="4" customFormat="1" x14ac:dyDescent="0.5">
      <c r="M64" s="25"/>
      <c r="N64" s="25"/>
      <c r="O64" s="33"/>
      <c r="P64" s="33"/>
    </row>
    <row r="65" spans="1:16" s="7" customFormat="1" x14ac:dyDescent="0.5">
      <c r="A65" s="17">
        <v>59</v>
      </c>
      <c r="B65" s="7">
        <v>1</v>
      </c>
      <c r="C65" s="7" t="s">
        <v>52</v>
      </c>
      <c r="D65" s="7" t="s">
        <v>98</v>
      </c>
      <c r="E65" s="7" t="s">
        <v>51</v>
      </c>
      <c r="F65" s="7" t="s">
        <v>50</v>
      </c>
      <c r="G65" s="7" t="s">
        <v>99</v>
      </c>
      <c r="H65" s="7" t="s">
        <v>353</v>
      </c>
      <c r="J65" s="4"/>
      <c r="K65" s="7" t="s">
        <v>53</v>
      </c>
      <c r="L65" s="31" t="s">
        <v>293</v>
      </c>
      <c r="M65" s="22">
        <v>0.95699999999999996</v>
      </c>
      <c r="N65" s="22">
        <v>0.65600000000000003</v>
      </c>
      <c r="O65" s="32">
        <f t="shared" ref="O65:O66" si="2">B65*M65</f>
        <v>0.95699999999999996</v>
      </c>
      <c r="P65" s="32">
        <f t="shared" ref="P65:P66" si="3">B65*N65</f>
        <v>0.65600000000000003</v>
      </c>
    </row>
    <row r="66" spans="1:16" s="7" customFormat="1" x14ac:dyDescent="0.5">
      <c r="A66" s="17">
        <v>60</v>
      </c>
      <c r="B66" s="7">
        <v>1</v>
      </c>
      <c r="C66" s="7" t="s">
        <v>361</v>
      </c>
      <c r="D66" s="7" t="s">
        <v>360</v>
      </c>
      <c r="E66" s="7" t="s">
        <v>26</v>
      </c>
      <c r="F66" s="37">
        <v>830208220101</v>
      </c>
      <c r="G66" s="7" t="s">
        <v>363</v>
      </c>
      <c r="H66" s="7" t="s">
        <v>362</v>
      </c>
      <c r="J66" s="4"/>
      <c r="K66" s="7" t="s">
        <v>366</v>
      </c>
      <c r="L66" s="31" t="s">
        <v>335</v>
      </c>
      <c r="M66" s="22">
        <v>1.43</v>
      </c>
      <c r="N66" s="22">
        <v>1.1200000000000001</v>
      </c>
      <c r="O66" s="32">
        <f t="shared" si="2"/>
        <v>1.43</v>
      </c>
      <c r="P66" s="32">
        <f t="shared" si="3"/>
        <v>1.1200000000000001</v>
      </c>
    </row>
    <row r="67" spans="1:16" s="4" customFormat="1" x14ac:dyDescent="0.5">
      <c r="M67" s="25"/>
      <c r="N67" s="25"/>
      <c r="O67" s="33"/>
      <c r="P67" s="33"/>
    </row>
    <row r="68" spans="1:16" x14ac:dyDescent="0.5">
      <c r="A68" s="17">
        <v>61</v>
      </c>
      <c r="B68">
        <v>1</v>
      </c>
      <c r="C68" s="9" t="s">
        <v>184</v>
      </c>
      <c r="D68" t="s">
        <v>178</v>
      </c>
      <c r="E68" t="s">
        <v>165</v>
      </c>
      <c r="F68" t="s">
        <v>185</v>
      </c>
      <c r="G68" t="s">
        <v>177</v>
      </c>
      <c r="I68" t="s">
        <v>183</v>
      </c>
      <c r="K68" t="s">
        <v>186</v>
      </c>
      <c r="L68" s="13">
        <v>300</v>
      </c>
      <c r="M68" s="16">
        <v>1.91</v>
      </c>
      <c r="N68" s="16">
        <v>1.24</v>
      </c>
      <c r="O68" s="32">
        <f t="shared" si="0"/>
        <v>1.91</v>
      </c>
      <c r="P68" s="32">
        <f t="shared" si="1"/>
        <v>1.24</v>
      </c>
    </row>
    <row r="69" spans="1:16" s="2" customFormat="1" x14ac:dyDescent="0.5">
      <c r="A69">
        <v>62</v>
      </c>
      <c r="B69" s="2">
        <v>0</v>
      </c>
      <c r="C69" s="2" t="s">
        <v>87</v>
      </c>
      <c r="D69" s="10" t="s">
        <v>32</v>
      </c>
      <c r="J69" s="19"/>
      <c r="M69" s="28"/>
      <c r="N69" s="28"/>
      <c r="O69" s="32">
        <f t="shared" ref="O69:O77" si="4">B69*M69</f>
        <v>0</v>
      </c>
      <c r="P69" s="32">
        <f t="shared" ref="P69:P77" si="5">B69*N69</f>
        <v>0</v>
      </c>
    </row>
    <row r="70" spans="1:16" x14ac:dyDescent="0.5">
      <c r="A70" s="17">
        <v>63</v>
      </c>
      <c r="B70">
        <v>1</v>
      </c>
      <c r="C70" t="s">
        <v>180</v>
      </c>
      <c r="D70" s="7" t="s">
        <v>13</v>
      </c>
      <c r="E70" t="s">
        <v>165</v>
      </c>
      <c r="F70" t="s">
        <v>164</v>
      </c>
      <c r="G70" t="s">
        <v>166</v>
      </c>
      <c r="H70" t="s">
        <v>176</v>
      </c>
      <c r="K70" t="s">
        <v>167</v>
      </c>
      <c r="L70" s="13">
        <v>2800</v>
      </c>
      <c r="M70" s="16">
        <v>0.503</v>
      </c>
      <c r="N70" s="16">
        <v>0.307</v>
      </c>
      <c r="O70" s="32">
        <f t="shared" si="4"/>
        <v>0.503</v>
      </c>
      <c r="P70" s="32">
        <f t="shared" si="5"/>
        <v>0.307</v>
      </c>
    </row>
    <row r="71" spans="1:16" x14ac:dyDescent="0.5">
      <c r="A71">
        <v>64</v>
      </c>
      <c r="B71">
        <v>1</v>
      </c>
      <c r="C71" t="s">
        <v>182</v>
      </c>
      <c r="D71" s="7" t="s">
        <v>33</v>
      </c>
      <c r="E71" t="s">
        <v>81</v>
      </c>
      <c r="F71" t="s">
        <v>150</v>
      </c>
      <c r="H71" t="s">
        <v>175</v>
      </c>
      <c r="K71" t="s">
        <v>151</v>
      </c>
      <c r="L71" s="13">
        <v>10</v>
      </c>
      <c r="M71" s="16">
        <v>1.93</v>
      </c>
      <c r="N71" s="16">
        <v>1.32</v>
      </c>
      <c r="O71" s="32">
        <f t="shared" si="4"/>
        <v>1.93</v>
      </c>
      <c r="P71" s="32">
        <f t="shared" si="5"/>
        <v>1.32</v>
      </c>
    </row>
    <row r="72" spans="1:16" s="7" customFormat="1" x14ac:dyDescent="0.5">
      <c r="A72" s="17">
        <v>65</v>
      </c>
      <c r="B72" s="7">
        <v>1</v>
      </c>
      <c r="C72" s="9" t="s">
        <v>202</v>
      </c>
      <c r="D72" s="7" t="s">
        <v>14</v>
      </c>
      <c r="E72" s="9" t="s">
        <v>34</v>
      </c>
      <c r="F72" s="29" t="s">
        <v>204</v>
      </c>
      <c r="J72" s="4"/>
      <c r="K72" s="7" t="s">
        <v>203</v>
      </c>
      <c r="L72" s="13">
        <v>1351</v>
      </c>
      <c r="M72" s="22">
        <v>2.2400000000000002</v>
      </c>
      <c r="N72" s="22">
        <v>2.2400000000000002</v>
      </c>
      <c r="O72" s="32">
        <f t="shared" si="4"/>
        <v>2.2400000000000002</v>
      </c>
      <c r="P72" s="32">
        <f t="shared" si="5"/>
        <v>2.2400000000000002</v>
      </c>
    </row>
    <row r="73" spans="1:16" x14ac:dyDescent="0.5">
      <c r="A73">
        <v>66</v>
      </c>
      <c r="B73">
        <v>1</v>
      </c>
      <c r="C73" t="s">
        <v>181</v>
      </c>
      <c r="D73" s="7" t="s">
        <v>136</v>
      </c>
      <c r="E73" t="s">
        <v>81</v>
      </c>
      <c r="F73" t="s">
        <v>80</v>
      </c>
      <c r="H73" t="s">
        <v>175</v>
      </c>
      <c r="K73" t="s">
        <v>79</v>
      </c>
      <c r="L73" s="13">
        <v>300</v>
      </c>
      <c r="M73" s="16">
        <v>3.45</v>
      </c>
      <c r="N73" s="16">
        <v>2.37</v>
      </c>
      <c r="O73" s="32">
        <f t="shared" si="4"/>
        <v>3.45</v>
      </c>
      <c r="P73" s="32">
        <f t="shared" si="5"/>
        <v>2.37</v>
      </c>
    </row>
    <row r="74" spans="1:16" x14ac:dyDescent="0.5">
      <c r="A74" s="17">
        <v>67</v>
      </c>
      <c r="B74">
        <v>1</v>
      </c>
      <c r="C74" t="s">
        <v>179</v>
      </c>
      <c r="D74" s="7" t="s">
        <v>137</v>
      </c>
      <c r="E74" t="s">
        <v>165</v>
      </c>
      <c r="F74" t="s">
        <v>168</v>
      </c>
      <c r="G74" t="s">
        <v>166</v>
      </c>
      <c r="H74" t="s">
        <v>176</v>
      </c>
      <c r="K74" t="s">
        <v>169</v>
      </c>
      <c r="L74" s="27" t="s">
        <v>345</v>
      </c>
      <c r="M74" s="16">
        <v>0.59499999999999997</v>
      </c>
      <c r="N74" s="16">
        <v>0.39600000000000002</v>
      </c>
      <c r="O74" s="32">
        <f t="shared" si="4"/>
        <v>0.59499999999999997</v>
      </c>
      <c r="P74" s="32">
        <f t="shared" si="5"/>
        <v>0.39600000000000002</v>
      </c>
    </row>
    <row r="75" spans="1:16" s="2" customFormat="1" x14ac:dyDescent="0.5">
      <c r="A75">
        <v>68</v>
      </c>
      <c r="B75" s="2">
        <v>0</v>
      </c>
      <c r="C75" s="2" t="s">
        <v>87</v>
      </c>
      <c r="D75" s="10" t="s">
        <v>193</v>
      </c>
      <c r="J75" s="19"/>
      <c r="L75"/>
      <c r="M75" s="28"/>
      <c r="N75" s="28"/>
      <c r="O75" s="32">
        <f t="shared" ref="O75" si="6">B75*M75</f>
        <v>0</v>
      </c>
      <c r="P75" s="32">
        <f t="shared" ref="P75" si="7">B75*N75</f>
        <v>0</v>
      </c>
    </row>
    <row r="76" spans="1:16" s="2" customFormat="1" x14ac:dyDescent="0.5">
      <c r="A76">
        <v>69</v>
      </c>
      <c r="B76" s="2">
        <v>0</v>
      </c>
      <c r="C76" s="2" t="s">
        <v>87</v>
      </c>
      <c r="D76" s="10" t="s">
        <v>370</v>
      </c>
      <c r="J76" s="19"/>
      <c r="L76"/>
      <c r="M76" s="28"/>
      <c r="N76" s="28"/>
      <c r="O76" s="32">
        <f t="shared" si="4"/>
        <v>0</v>
      </c>
      <c r="P76" s="32">
        <f t="shared" si="5"/>
        <v>0</v>
      </c>
    </row>
    <row r="77" spans="1:16" x14ac:dyDescent="0.5">
      <c r="A77" s="17">
        <v>70</v>
      </c>
      <c r="B77">
        <v>1</v>
      </c>
      <c r="C77" t="s">
        <v>106</v>
      </c>
      <c r="D77" t="s">
        <v>138</v>
      </c>
      <c r="E77" t="s">
        <v>187</v>
      </c>
      <c r="F77" t="s">
        <v>188</v>
      </c>
      <c r="G77" t="s">
        <v>189</v>
      </c>
      <c r="H77" t="s">
        <v>191</v>
      </c>
      <c r="J77" s="36"/>
      <c r="K77" t="s">
        <v>190</v>
      </c>
      <c r="L77" s="13">
        <v>4300</v>
      </c>
      <c r="M77">
        <v>0.27100000000000002</v>
      </c>
      <c r="N77">
        <v>0.20499999999999999</v>
      </c>
      <c r="O77">
        <f t="shared" si="4"/>
        <v>0.27100000000000002</v>
      </c>
      <c r="P77">
        <f t="shared" si="5"/>
        <v>0.20499999999999999</v>
      </c>
    </row>
    <row r="78" spans="1:16" s="6" customFormat="1" x14ac:dyDescent="0.5">
      <c r="M78" s="26"/>
      <c r="N78" s="26"/>
    </row>
    <row r="79" spans="1:16" x14ac:dyDescent="0.5">
      <c r="O79" s="1"/>
    </row>
    <row r="80" spans="1:16" x14ac:dyDescent="0.5">
      <c r="O80" s="1">
        <f>SUM(O3:O77)</f>
        <v>57.314999999999998</v>
      </c>
      <c r="P80" s="32">
        <f>SUM(P3:P77)</f>
        <v>42.715999999999994</v>
      </c>
    </row>
    <row r="82" spans="4:16" x14ac:dyDescent="0.5">
      <c r="O82" s="3"/>
      <c r="P82" s="3"/>
    </row>
    <row r="84" spans="4:16" x14ac:dyDescent="0.5">
      <c r="M84" s="1"/>
      <c r="N84" s="1"/>
      <c r="O84" s="1"/>
    </row>
    <row r="85" spans="4:16" x14ac:dyDescent="0.5">
      <c r="M85" s="1"/>
      <c r="N85" s="1"/>
      <c r="O85" s="1"/>
      <c r="P85" s="1"/>
    </row>
    <row r="94" spans="4:16" x14ac:dyDescent="0.5">
      <c r="D94" s="8"/>
    </row>
    <row r="95" spans="4:16" x14ac:dyDescent="0.5">
      <c r="D95" s="8"/>
    </row>
  </sheetData>
  <mergeCells count="2">
    <mergeCell ref="K1:N1"/>
    <mergeCell ref="O1:P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5722-1C6B-4E42-89B4-3A44026BEFD4}">
  <dimension ref="A1:R87"/>
  <sheetViews>
    <sheetView topLeftCell="A40" zoomScale="85" zoomScaleNormal="85" workbookViewId="0">
      <selection activeCell="D75" sqref="D75"/>
    </sheetView>
  </sheetViews>
  <sheetFormatPr baseColWidth="10" defaultRowHeight="14.35" outlineLevelCol="1" x14ac:dyDescent="0.5"/>
  <cols>
    <col min="1" max="1" width="4.3515625" bestFit="1" customWidth="1"/>
    <col min="2" max="2" width="5.3515625" customWidth="1"/>
    <col min="3" max="3" width="31.3515625" bestFit="1" customWidth="1"/>
    <col min="4" max="4" width="66.8203125" bestFit="1" customWidth="1"/>
    <col min="5" max="5" width="15.5859375" bestFit="1" customWidth="1"/>
    <col min="6" max="6" width="25.05859375" bestFit="1" customWidth="1"/>
    <col min="7" max="7" width="14.46875" bestFit="1" customWidth="1"/>
    <col min="8" max="8" width="11.3515625" bestFit="1" customWidth="1"/>
    <col min="9" max="9" width="18.9375" customWidth="1" outlineLevel="1"/>
    <col min="10" max="18" width="10.9375" customWidth="1" outlineLevel="1"/>
  </cols>
  <sheetData>
    <row r="1" spans="1:10" x14ac:dyDescent="0.5">
      <c r="A1" t="s">
        <v>17</v>
      </c>
      <c r="B1" t="s">
        <v>18</v>
      </c>
      <c r="C1" t="s">
        <v>22</v>
      </c>
      <c r="D1" t="s">
        <v>19</v>
      </c>
      <c r="E1" t="s">
        <v>21</v>
      </c>
      <c r="F1" t="s">
        <v>20</v>
      </c>
      <c r="G1" t="s">
        <v>23</v>
      </c>
      <c r="H1" t="s">
        <v>85</v>
      </c>
    </row>
    <row r="2" spans="1:10" x14ac:dyDescent="0.5">
      <c r="A2">
        <v>1</v>
      </c>
      <c r="B2">
        <v>1</v>
      </c>
      <c r="C2" t="s">
        <v>238</v>
      </c>
      <c r="D2" t="s">
        <v>194</v>
      </c>
      <c r="E2" t="s">
        <v>27</v>
      </c>
      <c r="F2" t="s">
        <v>222</v>
      </c>
      <c r="G2">
        <v>805</v>
      </c>
      <c r="H2" t="s">
        <v>225</v>
      </c>
    </row>
    <row r="3" spans="1:10" x14ac:dyDescent="0.5">
      <c r="A3">
        <v>2</v>
      </c>
      <c r="B3">
        <v>17</v>
      </c>
      <c r="C3" t="s">
        <v>235</v>
      </c>
      <c r="D3" t="s">
        <v>359</v>
      </c>
      <c r="E3" s="7" t="s">
        <v>76</v>
      </c>
      <c r="F3" s="15" t="s">
        <v>78</v>
      </c>
      <c r="G3" s="7">
        <v>402</v>
      </c>
      <c r="H3" s="7"/>
      <c r="I3" s="7"/>
    </row>
    <row r="4" spans="1:10" s="12" customFormat="1" x14ac:dyDescent="0.5">
      <c r="A4">
        <v>3</v>
      </c>
      <c r="B4" s="12">
        <v>4</v>
      </c>
      <c r="C4" s="12" t="s">
        <v>237</v>
      </c>
      <c r="D4" s="12" t="s">
        <v>88</v>
      </c>
      <c r="E4" s="12" t="s">
        <v>36</v>
      </c>
      <c r="F4" s="12" t="s">
        <v>226</v>
      </c>
      <c r="G4" s="12">
        <v>805</v>
      </c>
    </row>
    <row r="5" spans="1:10" x14ac:dyDescent="0.5">
      <c r="A5">
        <v>4</v>
      </c>
      <c r="B5">
        <v>4</v>
      </c>
      <c r="C5" t="s">
        <v>236</v>
      </c>
      <c r="D5" t="s">
        <v>212</v>
      </c>
      <c r="E5" s="12" t="s">
        <v>36</v>
      </c>
      <c r="F5" t="s">
        <v>233</v>
      </c>
      <c r="G5">
        <v>1210</v>
      </c>
    </row>
    <row r="6" spans="1:10" x14ac:dyDescent="0.5">
      <c r="A6">
        <v>5</v>
      </c>
      <c r="B6">
        <v>2</v>
      </c>
      <c r="C6" t="s">
        <v>242</v>
      </c>
      <c r="D6" t="s">
        <v>211</v>
      </c>
      <c r="E6" s="12" t="s">
        <v>36</v>
      </c>
      <c r="F6" t="s">
        <v>239</v>
      </c>
      <c r="G6">
        <v>603</v>
      </c>
    </row>
    <row r="7" spans="1:10" x14ac:dyDescent="0.5">
      <c r="A7">
        <v>6</v>
      </c>
      <c r="B7">
        <v>1</v>
      </c>
      <c r="C7" t="s">
        <v>264</v>
      </c>
      <c r="D7" t="s">
        <v>16</v>
      </c>
      <c r="E7" s="7" t="s">
        <v>25</v>
      </c>
      <c r="F7" t="s">
        <v>263</v>
      </c>
      <c r="G7" t="s">
        <v>210</v>
      </c>
    </row>
    <row r="8" spans="1:10" x14ac:dyDescent="0.5">
      <c r="A8">
        <v>7</v>
      </c>
      <c r="B8">
        <v>2</v>
      </c>
      <c r="C8" s="12" t="s">
        <v>256</v>
      </c>
      <c r="D8" t="s">
        <v>89</v>
      </c>
      <c r="E8" s="12" t="s">
        <v>27</v>
      </c>
      <c r="F8" t="s">
        <v>255</v>
      </c>
      <c r="G8">
        <v>1206</v>
      </c>
    </row>
    <row r="9" spans="1:10" s="12" customFormat="1" x14ac:dyDescent="0.5">
      <c r="A9">
        <v>8</v>
      </c>
      <c r="B9" s="12">
        <v>2</v>
      </c>
      <c r="C9" s="12" t="s">
        <v>252</v>
      </c>
      <c r="D9" s="12" t="s">
        <v>195</v>
      </c>
      <c r="E9" s="9" t="s">
        <v>230</v>
      </c>
      <c r="F9" s="9" t="s">
        <v>229</v>
      </c>
      <c r="G9" s="9">
        <v>805</v>
      </c>
      <c r="H9" s="9"/>
    </row>
    <row r="10" spans="1:10" s="2" customFormat="1" x14ac:dyDescent="0.5">
      <c r="A10">
        <v>9</v>
      </c>
      <c r="B10" s="2">
        <v>0</v>
      </c>
      <c r="C10" s="2" t="s">
        <v>87</v>
      </c>
      <c r="D10" s="2" t="s">
        <v>90</v>
      </c>
    </row>
    <row r="11" spans="1:10" s="12" customFormat="1" x14ac:dyDescent="0.5">
      <c r="A11">
        <v>10</v>
      </c>
      <c r="B11" s="12">
        <v>1</v>
      </c>
      <c r="C11" s="12" t="s">
        <v>253</v>
      </c>
      <c r="D11" s="12" t="s">
        <v>91</v>
      </c>
      <c r="E11" s="12" t="s">
        <v>27</v>
      </c>
      <c r="F11" s="12" t="s">
        <v>246</v>
      </c>
      <c r="G11" s="12">
        <v>603</v>
      </c>
      <c r="H11" s="12" t="s">
        <v>225</v>
      </c>
    </row>
    <row r="12" spans="1:10" x14ac:dyDescent="0.5">
      <c r="A12">
        <v>11</v>
      </c>
      <c r="B12">
        <v>10</v>
      </c>
      <c r="C12" t="s">
        <v>251</v>
      </c>
      <c r="D12" t="s">
        <v>92</v>
      </c>
      <c r="E12" s="7" t="s">
        <v>25</v>
      </c>
      <c r="F12" s="7" t="s">
        <v>74</v>
      </c>
      <c r="G12" s="7">
        <v>402</v>
      </c>
      <c r="H12" t="s">
        <v>225</v>
      </c>
      <c r="I12" s="7"/>
    </row>
    <row r="13" spans="1:10" x14ac:dyDescent="0.5">
      <c r="A13">
        <v>12</v>
      </c>
      <c r="B13">
        <v>19</v>
      </c>
      <c r="C13" t="s">
        <v>262</v>
      </c>
      <c r="D13" t="s">
        <v>93</v>
      </c>
      <c r="E13" s="12" t="s">
        <v>27</v>
      </c>
      <c r="F13" s="7" t="s">
        <v>259</v>
      </c>
      <c r="G13" s="7">
        <v>402</v>
      </c>
      <c r="H13" s="12" t="s">
        <v>225</v>
      </c>
      <c r="I13" s="7"/>
      <c r="J13" s="7"/>
    </row>
    <row r="14" spans="1:10" s="12" customFormat="1" x14ac:dyDescent="0.5">
      <c r="A14">
        <v>13</v>
      </c>
      <c r="B14" s="12">
        <v>1</v>
      </c>
      <c r="C14" s="12" t="s">
        <v>254</v>
      </c>
      <c r="D14" s="12" t="s">
        <v>94</v>
      </c>
      <c r="E14" s="12" t="s">
        <v>27</v>
      </c>
      <c r="F14" s="12" t="s">
        <v>243</v>
      </c>
      <c r="G14" s="12">
        <v>603</v>
      </c>
      <c r="H14" s="12" t="s">
        <v>225</v>
      </c>
    </row>
    <row r="15" spans="1:10" x14ac:dyDescent="0.5">
      <c r="A15">
        <v>14</v>
      </c>
      <c r="B15">
        <v>4</v>
      </c>
      <c r="C15" s="7" t="s">
        <v>267</v>
      </c>
      <c r="D15" t="s">
        <v>121</v>
      </c>
      <c r="E15" s="12" t="s">
        <v>24</v>
      </c>
      <c r="F15" t="s">
        <v>280</v>
      </c>
      <c r="G15" s="7">
        <v>603</v>
      </c>
      <c r="H15" s="12" t="s">
        <v>225</v>
      </c>
    </row>
    <row r="16" spans="1:10" x14ac:dyDescent="0.5">
      <c r="A16">
        <v>15</v>
      </c>
      <c r="B16">
        <v>1</v>
      </c>
      <c r="C16" t="s">
        <v>271</v>
      </c>
      <c r="D16" t="s">
        <v>3</v>
      </c>
      <c r="E16" s="12" t="s">
        <v>24</v>
      </c>
      <c r="F16" t="s">
        <v>268</v>
      </c>
      <c r="G16" s="7">
        <v>603</v>
      </c>
      <c r="H16" s="12" t="s">
        <v>225</v>
      </c>
    </row>
    <row r="17" spans="1:12" x14ac:dyDescent="0.5">
      <c r="A17">
        <v>16</v>
      </c>
      <c r="B17">
        <v>7</v>
      </c>
      <c r="C17" t="s">
        <v>298</v>
      </c>
      <c r="D17" t="s">
        <v>118</v>
      </c>
      <c r="E17" s="12" t="s">
        <v>24</v>
      </c>
      <c r="F17" t="s">
        <v>294</v>
      </c>
      <c r="G17" s="7">
        <v>402</v>
      </c>
      <c r="H17" s="12" t="s">
        <v>225</v>
      </c>
    </row>
    <row r="18" spans="1:12" x14ac:dyDescent="0.5">
      <c r="A18">
        <v>17</v>
      </c>
      <c r="B18">
        <v>1</v>
      </c>
      <c r="C18" t="s">
        <v>297</v>
      </c>
      <c r="D18" t="s">
        <v>199</v>
      </c>
      <c r="E18" s="12" t="s">
        <v>24</v>
      </c>
      <c r="F18" t="s">
        <v>299</v>
      </c>
      <c r="G18" s="7">
        <v>402</v>
      </c>
      <c r="H18" s="12" t="s">
        <v>225</v>
      </c>
    </row>
    <row r="19" spans="1:12" x14ac:dyDescent="0.5">
      <c r="A19">
        <v>18</v>
      </c>
      <c r="B19">
        <v>1</v>
      </c>
      <c r="C19" t="s">
        <v>306</v>
      </c>
      <c r="D19" t="s">
        <v>111</v>
      </c>
      <c r="E19" s="12" t="s">
        <v>24</v>
      </c>
      <c r="F19" t="s">
        <v>304</v>
      </c>
      <c r="G19" s="7">
        <v>402</v>
      </c>
      <c r="H19" s="12" t="s">
        <v>225</v>
      </c>
    </row>
    <row r="20" spans="1:12" s="12" customFormat="1" x14ac:dyDescent="0.5">
      <c r="A20">
        <v>19</v>
      </c>
      <c r="B20" s="12">
        <v>1</v>
      </c>
      <c r="C20" s="12" t="s">
        <v>324</v>
      </c>
      <c r="D20" s="12" t="s">
        <v>112</v>
      </c>
      <c r="E20" s="12" t="s">
        <v>24</v>
      </c>
      <c r="F20" s="12" t="s">
        <v>300</v>
      </c>
      <c r="G20" s="9">
        <v>402</v>
      </c>
      <c r="H20" s="12" t="s">
        <v>225</v>
      </c>
    </row>
    <row r="21" spans="1:12" x14ac:dyDescent="0.5">
      <c r="A21">
        <v>20</v>
      </c>
      <c r="B21">
        <v>2</v>
      </c>
      <c r="C21" t="s">
        <v>307</v>
      </c>
      <c r="D21" t="s">
        <v>200</v>
      </c>
      <c r="E21" s="12" t="s">
        <v>24</v>
      </c>
      <c r="F21" t="s">
        <v>308</v>
      </c>
      <c r="G21" s="7">
        <v>402</v>
      </c>
      <c r="H21" s="12" t="s">
        <v>225</v>
      </c>
    </row>
    <row r="22" spans="1:12" x14ac:dyDescent="0.5">
      <c r="A22">
        <v>21</v>
      </c>
      <c r="B22">
        <v>3</v>
      </c>
      <c r="C22" t="s">
        <v>275</v>
      </c>
      <c r="D22" t="s">
        <v>219</v>
      </c>
      <c r="E22" s="12" t="s">
        <v>24</v>
      </c>
      <c r="F22" t="s">
        <v>272</v>
      </c>
      <c r="G22" s="7">
        <v>603</v>
      </c>
      <c r="H22" s="12" t="s">
        <v>225</v>
      </c>
    </row>
    <row r="23" spans="1:12" x14ac:dyDescent="0.5">
      <c r="A23">
        <v>22</v>
      </c>
      <c r="B23">
        <v>1</v>
      </c>
      <c r="C23" t="s">
        <v>288</v>
      </c>
      <c r="D23" t="s">
        <v>113</v>
      </c>
      <c r="E23" s="12" t="s">
        <v>24</v>
      </c>
      <c r="F23" t="s">
        <v>285</v>
      </c>
      <c r="G23" s="7">
        <v>805</v>
      </c>
      <c r="H23" s="12" t="s">
        <v>225</v>
      </c>
    </row>
    <row r="24" spans="1:12" x14ac:dyDescent="0.5">
      <c r="A24">
        <v>23</v>
      </c>
      <c r="B24">
        <v>2</v>
      </c>
      <c r="C24" t="s">
        <v>289</v>
      </c>
      <c r="D24" t="s">
        <v>201</v>
      </c>
      <c r="E24" s="12" t="s">
        <v>24</v>
      </c>
      <c r="F24" t="s">
        <v>290</v>
      </c>
      <c r="G24" s="7">
        <v>805</v>
      </c>
      <c r="H24" s="12" t="s">
        <v>225</v>
      </c>
    </row>
    <row r="25" spans="1:12" x14ac:dyDescent="0.5">
      <c r="A25">
        <v>24</v>
      </c>
      <c r="B25">
        <v>6</v>
      </c>
      <c r="C25" t="s">
        <v>314</v>
      </c>
      <c r="D25" t="s">
        <v>163</v>
      </c>
      <c r="E25" s="12" t="s">
        <v>24</v>
      </c>
      <c r="F25" t="s">
        <v>311</v>
      </c>
      <c r="G25" s="7">
        <v>402</v>
      </c>
      <c r="H25" s="12" t="s">
        <v>225</v>
      </c>
    </row>
    <row r="26" spans="1:12" x14ac:dyDescent="0.5">
      <c r="A26">
        <v>25</v>
      </c>
      <c r="B26">
        <v>1</v>
      </c>
      <c r="C26" t="s">
        <v>279</v>
      </c>
      <c r="D26" t="s">
        <v>214</v>
      </c>
      <c r="E26" s="12" t="s">
        <v>24</v>
      </c>
      <c r="F26" t="s">
        <v>276</v>
      </c>
      <c r="G26" s="7">
        <v>603</v>
      </c>
      <c r="H26" s="12" t="s">
        <v>225</v>
      </c>
    </row>
    <row r="27" spans="1:12" s="2" customFormat="1" x14ac:dyDescent="0.5">
      <c r="A27">
        <v>26</v>
      </c>
      <c r="B27" s="2">
        <v>0</v>
      </c>
      <c r="C27" s="2" t="s">
        <v>87</v>
      </c>
      <c r="D27" s="2" t="s">
        <v>120</v>
      </c>
      <c r="G27" s="10"/>
    </row>
    <row r="28" spans="1:12" s="2" customFormat="1" x14ac:dyDescent="0.5">
      <c r="A28">
        <v>27</v>
      </c>
      <c r="B28" s="2">
        <v>0</v>
      </c>
      <c r="C28" s="2" t="s">
        <v>87</v>
      </c>
      <c r="D28" s="2" t="s">
        <v>122</v>
      </c>
    </row>
    <row r="29" spans="1:12" x14ac:dyDescent="0.5">
      <c r="A29">
        <v>28</v>
      </c>
      <c r="B29">
        <v>3</v>
      </c>
      <c r="C29" t="s">
        <v>15</v>
      </c>
      <c r="D29" t="s">
        <v>192</v>
      </c>
      <c r="E29" s="12" t="s">
        <v>24</v>
      </c>
      <c r="F29" t="s">
        <v>277</v>
      </c>
      <c r="G29" s="7">
        <v>603</v>
      </c>
      <c r="H29" s="12" t="s">
        <v>225</v>
      </c>
    </row>
    <row r="30" spans="1:12" x14ac:dyDescent="0.5">
      <c r="A30">
        <v>29</v>
      </c>
      <c r="B30">
        <v>4</v>
      </c>
      <c r="C30" t="s">
        <v>327</v>
      </c>
      <c r="D30" t="s">
        <v>119</v>
      </c>
      <c r="E30" s="12" t="s">
        <v>24</v>
      </c>
      <c r="F30" t="s">
        <v>328</v>
      </c>
      <c r="G30" s="7">
        <v>402</v>
      </c>
      <c r="H30" s="12" t="s">
        <v>225</v>
      </c>
      <c r="L30" t="s">
        <v>346</v>
      </c>
    </row>
    <row r="31" spans="1:12" x14ac:dyDescent="0.5">
      <c r="A31">
        <v>30</v>
      </c>
      <c r="B31">
        <v>1</v>
      </c>
      <c r="C31" t="s">
        <v>321</v>
      </c>
      <c r="D31" t="s">
        <v>114</v>
      </c>
      <c r="E31" s="12" t="s">
        <v>24</v>
      </c>
      <c r="F31" t="s">
        <v>301</v>
      </c>
      <c r="G31" s="7">
        <v>402</v>
      </c>
      <c r="H31" s="12" t="s">
        <v>225</v>
      </c>
    </row>
    <row r="32" spans="1:12" x14ac:dyDescent="0.5">
      <c r="A32">
        <v>31</v>
      </c>
      <c r="B32">
        <v>1</v>
      </c>
      <c r="C32" t="s">
        <v>322</v>
      </c>
      <c r="D32" t="s">
        <v>115</v>
      </c>
      <c r="E32" s="12" t="s">
        <v>24</v>
      </c>
      <c r="F32" t="s">
        <v>291</v>
      </c>
      <c r="G32" s="7">
        <v>402</v>
      </c>
      <c r="H32" s="12" t="s">
        <v>225</v>
      </c>
    </row>
    <row r="33" spans="1:9" x14ac:dyDescent="0.5">
      <c r="A33">
        <v>32</v>
      </c>
      <c r="B33">
        <v>1</v>
      </c>
      <c r="C33" t="s">
        <v>323</v>
      </c>
      <c r="D33" t="s">
        <v>116</v>
      </c>
      <c r="E33" s="12" t="s">
        <v>29</v>
      </c>
      <c r="F33" t="s">
        <v>319</v>
      </c>
      <c r="G33" s="7">
        <v>402</v>
      </c>
      <c r="H33" s="12" t="s">
        <v>225</v>
      </c>
    </row>
    <row r="34" spans="1:9" x14ac:dyDescent="0.5">
      <c r="A34">
        <v>33</v>
      </c>
      <c r="B34">
        <v>1</v>
      </c>
      <c r="C34" t="s">
        <v>100</v>
      </c>
      <c r="D34" t="s">
        <v>117</v>
      </c>
      <c r="E34" s="12" t="s">
        <v>29</v>
      </c>
      <c r="F34" t="s">
        <v>331</v>
      </c>
      <c r="G34" s="7">
        <v>603</v>
      </c>
      <c r="H34" s="12" t="s">
        <v>225</v>
      </c>
    </row>
    <row r="35" spans="1:9" s="2" customFormat="1" x14ac:dyDescent="0.5">
      <c r="A35">
        <v>34</v>
      </c>
      <c r="B35">
        <v>1</v>
      </c>
      <c r="C35" t="s">
        <v>95</v>
      </c>
      <c r="D35" t="s">
        <v>1</v>
      </c>
      <c r="E35" s="12" t="s">
        <v>27</v>
      </c>
      <c r="F35" t="s">
        <v>333</v>
      </c>
      <c r="G35">
        <v>603</v>
      </c>
      <c r="H35" s="12" t="s">
        <v>225</v>
      </c>
    </row>
    <row r="36" spans="1:9" x14ac:dyDescent="0.5">
      <c r="A36">
        <v>35</v>
      </c>
      <c r="B36">
        <v>1</v>
      </c>
      <c r="C36" t="s">
        <v>41</v>
      </c>
      <c r="D36" s="7" t="s">
        <v>2</v>
      </c>
      <c r="E36" t="s">
        <v>37</v>
      </c>
      <c r="F36" t="s">
        <v>38</v>
      </c>
      <c r="G36" t="s">
        <v>40</v>
      </c>
    </row>
    <row r="37" spans="1:9" x14ac:dyDescent="0.5">
      <c r="A37">
        <v>36</v>
      </c>
      <c r="B37">
        <v>1</v>
      </c>
      <c r="C37" t="s">
        <v>139</v>
      </c>
      <c r="D37" t="s">
        <v>12</v>
      </c>
      <c r="E37" t="s">
        <v>141</v>
      </c>
      <c r="F37" t="s">
        <v>140</v>
      </c>
      <c r="G37" t="s">
        <v>107</v>
      </c>
      <c r="I37" s="7"/>
    </row>
    <row r="38" spans="1:9" x14ac:dyDescent="0.5">
      <c r="A38">
        <v>37</v>
      </c>
      <c r="B38">
        <v>3</v>
      </c>
      <c r="C38" s="9" t="s">
        <v>73</v>
      </c>
      <c r="D38" t="s">
        <v>213</v>
      </c>
      <c r="E38" s="9" t="s">
        <v>28</v>
      </c>
      <c r="F38" s="11" t="s">
        <v>70</v>
      </c>
      <c r="G38" s="7" t="s">
        <v>71</v>
      </c>
      <c r="H38" s="7"/>
      <c r="I38" s="7"/>
    </row>
    <row r="39" spans="1:9" x14ac:dyDescent="0.5">
      <c r="A39">
        <v>38</v>
      </c>
      <c r="B39">
        <v>1</v>
      </c>
      <c r="C39" t="s">
        <v>356</v>
      </c>
      <c r="D39" t="s">
        <v>358</v>
      </c>
      <c r="E39" s="7" t="s">
        <v>58</v>
      </c>
      <c r="F39" s="7" t="s">
        <v>355</v>
      </c>
      <c r="G39" s="7" t="s">
        <v>83</v>
      </c>
      <c r="H39" s="9"/>
      <c r="I39" s="34"/>
    </row>
    <row r="40" spans="1:9" x14ac:dyDescent="0.5">
      <c r="A40">
        <v>39</v>
      </c>
      <c r="B40">
        <v>2</v>
      </c>
      <c r="C40" s="9" t="s">
        <v>57</v>
      </c>
      <c r="D40" t="s">
        <v>221</v>
      </c>
      <c r="E40" s="9" t="s">
        <v>55</v>
      </c>
      <c r="F40" s="11" t="s">
        <v>54</v>
      </c>
      <c r="G40" s="9"/>
      <c r="H40" s="7"/>
      <c r="I40" s="7"/>
    </row>
    <row r="41" spans="1:9" x14ac:dyDescent="0.5">
      <c r="A41">
        <v>40</v>
      </c>
      <c r="B41">
        <v>1</v>
      </c>
      <c r="C41" s="7" t="s">
        <v>347</v>
      </c>
      <c r="D41" t="s">
        <v>125</v>
      </c>
      <c r="E41" s="7" t="s">
        <v>30</v>
      </c>
      <c r="F41" s="7" t="s">
        <v>65</v>
      </c>
      <c r="G41" s="7" t="s">
        <v>66</v>
      </c>
      <c r="H41" s="7"/>
      <c r="I41" s="7"/>
    </row>
    <row r="42" spans="1:9" x14ac:dyDescent="0.5">
      <c r="A42">
        <v>41</v>
      </c>
      <c r="B42">
        <v>1</v>
      </c>
      <c r="C42" s="7" t="s">
        <v>348</v>
      </c>
      <c r="D42" t="s">
        <v>126</v>
      </c>
      <c r="E42" s="7" t="s">
        <v>30</v>
      </c>
      <c r="F42" s="7" t="s">
        <v>62</v>
      </c>
      <c r="G42" s="7" t="s">
        <v>63</v>
      </c>
      <c r="H42" s="7"/>
      <c r="I42" s="7"/>
    </row>
    <row r="43" spans="1:9" x14ac:dyDescent="0.5">
      <c r="A43">
        <v>42</v>
      </c>
      <c r="B43">
        <v>4</v>
      </c>
      <c r="C43" s="7" t="s">
        <v>59</v>
      </c>
      <c r="D43" t="s">
        <v>123</v>
      </c>
      <c r="E43" s="7" t="s">
        <v>58</v>
      </c>
      <c r="F43" s="7" t="s">
        <v>59</v>
      </c>
      <c r="G43" s="7" t="s">
        <v>60</v>
      </c>
      <c r="I43" s="7"/>
    </row>
    <row r="44" spans="1:9" x14ac:dyDescent="0.5">
      <c r="A44">
        <v>43</v>
      </c>
      <c r="B44">
        <v>1</v>
      </c>
      <c r="C44" s="7" t="s">
        <v>96</v>
      </c>
      <c r="D44" t="s">
        <v>127</v>
      </c>
      <c r="E44" s="7" t="s">
        <v>144</v>
      </c>
      <c r="F44" s="7" t="s">
        <v>96</v>
      </c>
      <c r="G44" t="s">
        <v>108</v>
      </c>
      <c r="I44" s="7"/>
    </row>
    <row r="45" spans="1:9" x14ac:dyDescent="0.5">
      <c r="A45">
        <v>44</v>
      </c>
      <c r="B45">
        <v>2</v>
      </c>
      <c r="C45" s="7" t="s">
        <v>97</v>
      </c>
      <c r="D45" t="s">
        <v>124</v>
      </c>
      <c r="E45" s="7" t="s">
        <v>30</v>
      </c>
      <c r="F45" s="7" t="s">
        <v>147</v>
      </c>
      <c r="G45" t="s">
        <v>44</v>
      </c>
      <c r="I45" s="7"/>
    </row>
    <row r="46" spans="1:9" x14ac:dyDescent="0.5">
      <c r="A46">
        <v>46</v>
      </c>
      <c r="B46">
        <v>1</v>
      </c>
      <c r="C46" s="7" t="s">
        <v>369</v>
      </c>
      <c r="D46" t="s">
        <v>128</v>
      </c>
      <c r="E46" s="7" t="s">
        <v>141</v>
      </c>
      <c r="F46" s="7" t="s">
        <v>367</v>
      </c>
      <c r="G46" t="s">
        <v>365</v>
      </c>
      <c r="I46" s="7"/>
    </row>
    <row r="47" spans="1:9" x14ac:dyDescent="0.5">
      <c r="A47">
        <v>47</v>
      </c>
      <c r="B47">
        <v>1</v>
      </c>
      <c r="C47" t="s">
        <v>349</v>
      </c>
      <c r="D47" t="s">
        <v>129</v>
      </c>
      <c r="E47" s="7" t="s">
        <v>47</v>
      </c>
      <c r="F47" s="7" t="s">
        <v>46</v>
      </c>
      <c r="G47" t="s">
        <v>49</v>
      </c>
      <c r="H47" t="s">
        <v>86</v>
      </c>
    </row>
    <row r="48" spans="1:9" x14ac:dyDescent="0.5">
      <c r="A48">
        <v>48</v>
      </c>
      <c r="B48">
        <v>2</v>
      </c>
      <c r="C48" s="7" t="s">
        <v>155</v>
      </c>
      <c r="D48" t="s">
        <v>130</v>
      </c>
      <c r="E48" s="7" t="s">
        <v>58</v>
      </c>
      <c r="F48" s="7" t="s">
        <v>155</v>
      </c>
      <c r="G48" t="s">
        <v>109</v>
      </c>
      <c r="H48" t="s">
        <v>86</v>
      </c>
    </row>
    <row r="49" spans="1:8" x14ac:dyDescent="0.5">
      <c r="A49">
        <v>49</v>
      </c>
      <c r="B49">
        <v>3</v>
      </c>
      <c r="C49" t="s">
        <v>158</v>
      </c>
      <c r="D49" t="s">
        <v>220</v>
      </c>
      <c r="E49" s="7" t="s">
        <v>58</v>
      </c>
      <c r="F49" t="s">
        <v>158</v>
      </c>
      <c r="G49" t="s">
        <v>109</v>
      </c>
      <c r="H49" t="s">
        <v>86</v>
      </c>
    </row>
    <row r="50" spans="1:8" s="7" customFormat="1" x14ac:dyDescent="0.5">
      <c r="A50">
        <v>50</v>
      </c>
      <c r="B50">
        <v>3</v>
      </c>
      <c r="C50" s="7" t="s">
        <v>101</v>
      </c>
      <c r="D50" t="s">
        <v>196</v>
      </c>
      <c r="E50" s="7" t="s">
        <v>58</v>
      </c>
      <c r="F50" s="7" t="s">
        <v>336</v>
      </c>
      <c r="G50" t="s">
        <v>110</v>
      </c>
      <c r="H50" s="7" t="s">
        <v>86</v>
      </c>
    </row>
    <row r="51" spans="1:8" x14ac:dyDescent="0.5">
      <c r="A51">
        <v>51</v>
      </c>
      <c r="B51" s="7">
        <v>1</v>
      </c>
      <c r="C51" s="7" t="s">
        <v>207</v>
      </c>
      <c r="D51" s="7" t="s">
        <v>131</v>
      </c>
      <c r="E51" s="7" t="s">
        <v>58</v>
      </c>
      <c r="F51" s="7" t="s">
        <v>205</v>
      </c>
      <c r="G51" s="7" t="s">
        <v>83</v>
      </c>
      <c r="H51" s="7"/>
    </row>
    <row r="52" spans="1:8" x14ac:dyDescent="0.5">
      <c r="A52">
        <v>52</v>
      </c>
      <c r="B52">
        <v>1</v>
      </c>
      <c r="C52" t="s">
        <v>102</v>
      </c>
      <c r="D52" t="s">
        <v>132</v>
      </c>
      <c r="E52" s="7" t="s">
        <v>26</v>
      </c>
      <c r="F52" s="7" t="s">
        <v>10</v>
      </c>
      <c r="G52" s="7">
        <v>603</v>
      </c>
      <c r="H52" s="7"/>
    </row>
    <row r="53" spans="1:8" x14ac:dyDescent="0.5">
      <c r="A53">
        <v>53</v>
      </c>
      <c r="B53">
        <v>1</v>
      </c>
      <c r="C53" t="s">
        <v>103</v>
      </c>
      <c r="D53" t="s">
        <v>133</v>
      </c>
      <c r="E53" s="7" t="s">
        <v>26</v>
      </c>
      <c r="F53" s="7" t="s">
        <v>161</v>
      </c>
      <c r="G53" s="7">
        <v>603</v>
      </c>
      <c r="H53" s="7"/>
    </row>
    <row r="54" spans="1:8" x14ac:dyDescent="0.5">
      <c r="A54">
        <v>54</v>
      </c>
      <c r="B54">
        <v>1</v>
      </c>
      <c r="C54" t="s">
        <v>104</v>
      </c>
      <c r="D54" t="s">
        <v>134</v>
      </c>
      <c r="E54" s="7" t="s">
        <v>26</v>
      </c>
      <c r="F54" s="7" t="s">
        <v>11</v>
      </c>
      <c r="G54" s="7">
        <v>603</v>
      </c>
      <c r="H54" t="s">
        <v>86</v>
      </c>
    </row>
    <row r="55" spans="1:8" s="7" customFormat="1" x14ac:dyDescent="0.5">
      <c r="A55">
        <v>55</v>
      </c>
      <c r="B55">
        <v>1</v>
      </c>
      <c r="C55" t="s">
        <v>105</v>
      </c>
      <c r="D55" t="s">
        <v>135</v>
      </c>
      <c r="E55" t="s">
        <v>35</v>
      </c>
      <c r="F55" t="s">
        <v>154</v>
      </c>
      <c r="G55" t="s">
        <v>83</v>
      </c>
      <c r="H55" s="7" t="s">
        <v>86</v>
      </c>
    </row>
    <row r="56" spans="1:8" s="7" customFormat="1" x14ac:dyDescent="0.5">
      <c r="A56">
        <v>56</v>
      </c>
      <c r="B56" s="7">
        <v>2</v>
      </c>
      <c r="C56" s="7" t="s">
        <v>198</v>
      </c>
      <c r="D56" s="7" t="s">
        <v>197</v>
      </c>
      <c r="E56" s="7" t="s">
        <v>58</v>
      </c>
      <c r="F56" s="7" t="s">
        <v>208</v>
      </c>
      <c r="G56" s="7" t="s">
        <v>83</v>
      </c>
      <c r="H56" s="7" t="s">
        <v>86</v>
      </c>
    </row>
    <row r="57" spans="1:8" s="7" customFormat="1" x14ac:dyDescent="0.5">
      <c r="A57" s="17">
        <v>57</v>
      </c>
      <c r="B57" s="17">
        <v>1</v>
      </c>
      <c r="C57" s="17" t="s">
        <v>216</v>
      </c>
      <c r="D57" s="17" t="s">
        <v>43</v>
      </c>
      <c r="E57" s="17" t="s">
        <v>31</v>
      </c>
      <c r="F57" s="7" t="s">
        <v>82</v>
      </c>
      <c r="G57" s="7" t="s">
        <v>83</v>
      </c>
    </row>
    <row r="58" spans="1:8" s="7" customFormat="1" x14ac:dyDescent="0.5">
      <c r="A58" s="17">
        <v>58</v>
      </c>
      <c r="B58" s="7">
        <v>1</v>
      </c>
      <c r="C58" s="7" t="s">
        <v>218</v>
      </c>
      <c r="D58" s="7" t="s">
        <v>45</v>
      </c>
      <c r="E58" s="17" t="s">
        <v>28</v>
      </c>
      <c r="F58" s="9" t="s">
        <v>215</v>
      </c>
      <c r="G58" s="7" t="s">
        <v>83</v>
      </c>
    </row>
    <row r="59" spans="1:8" x14ac:dyDescent="0.5">
      <c r="A59" s="17">
        <v>59</v>
      </c>
      <c r="B59" s="7">
        <v>1</v>
      </c>
      <c r="C59" s="7" t="s">
        <v>52</v>
      </c>
      <c r="D59" s="7" t="s">
        <v>98</v>
      </c>
      <c r="E59" s="7" t="s">
        <v>51</v>
      </c>
      <c r="F59" s="7" t="s">
        <v>50</v>
      </c>
      <c r="G59" s="7" t="s">
        <v>99</v>
      </c>
      <c r="H59" t="s">
        <v>183</v>
      </c>
    </row>
    <row r="60" spans="1:8" x14ac:dyDescent="0.5">
      <c r="A60" s="17">
        <v>60</v>
      </c>
      <c r="B60" s="7">
        <v>1</v>
      </c>
      <c r="C60" s="7" t="s">
        <v>361</v>
      </c>
      <c r="D60" s="7" t="s">
        <v>360</v>
      </c>
      <c r="E60" s="7" t="s">
        <v>26</v>
      </c>
      <c r="F60" s="37">
        <v>830208220101</v>
      </c>
      <c r="G60" s="7"/>
    </row>
    <row r="61" spans="1:8" s="2" customFormat="1" x14ac:dyDescent="0.5">
      <c r="A61" s="17">
        <v>61</v>
      </c>
      <c r="B61">
        <v>1</v>
      </c>
      <c r="C61" s="9" t="s">
        <v>184</v>
      </c>
      <c r="D61" t="s">
        <v>178</v>
      </c>
      <c r="E61" t="s">
        <v>165</v>
      </c>
      <c r="F61" t="s">
        <v>185</v>
      </c>
      <c r="G61" t="s">
        <v>177</v>
      </c>
    </row>
    <row r="62" spans="1:8" x14ac:dyDescent="0.5">
      <c r="A62" s="17">
        <v>62</v>
      </c>
      <c r="B62" s="2">
        <v>0</v>
      </c>
      <c r="C62" s="2" t="s">
        <v>87</v>
      </c>
      <c r="D62" s="10" t="s">
        <v>32</v>
      </c>
      <c r="E62" s="2"/>
      <c r="F62" s="2"/>
      <c r="G62" s="2"/>
    </row>
    <row r="63" spans="1:8" x14ac:dyDescent="0.5">
      <c r="A63" s="17">
        <v>63</v>
      </c>
      <c r="B63">
        <v>1</v>
      </c>
      <c r="C63" t="s">
        <v>180</v>
      </c>
      <c r="D63" s="7" t="s">
        <v>13</v>
      </c>
      <c r="E63" t="s">
        <v>165</v>
      </c>
      <c r="F63" t="s">
        <v>164</v>
      </c>
      <c r="G63" t="s">
        <v>166</v>
      </c>
    </row>
    <row r="64" spans="1:8" s="7" customFormat="1" x14ac:dyDescent="0.5">
      <c r="A64" s="17">
        <v>64</v>
      </c>
      <c r="B64">
        <v>1</v>
      </c>
      <c r="C64" t="s">
        <v>182</v>
      </c>
      <c r="D64" s="7" t="s">
        <v>33</v>
      </c>
      <c r="E64" t="s">
        <v>81</v>
      </c>
      <c r="F64" t="s">
        <v>150</v>
      </c>
      <c r="G64"/>
    </row>
    <row r="65" spans="1:7" x14ac:dyDescent="0.5">
      <c r="A65" s="17">
        <v>65</v>
      </c>
      <c r="B65" s="7">
        <v>1</v>
      </c>
      <c r="C65" s="9" t="s">
        <v>202</v>
      </c>
      <c r="D65" s="7" t="s">
        <v>14</v>
      </c>
      <c r="E65" s="9" t="s">
        <v>34</v>
      </c>
      <c r="F65" s="29" t="s">
        <v>204</v>
      </c>
      <c r="G65" s="7"/>
    </row>
    <row r="66" spans="1:7" x14ac:dyDescent="0.5">
      <c r="A66" s="17">
        <v>66</v>
      </c>
      <c r="B66">
        <v>1</v>
      </c>
      <c r="C66" t="s">
        <v>181</v>
      </c>
      <c r="D66" s="7" t="s">
        <v>136</v>
      </c>
      <c r="E66" t="s">
        <v>81</v>
      </c>
      <c r="F66" t="s">
        <v>80</v>
      </c>
    </row>
    <row r="67" spans="1:7" s="2" customFormat="1" x14ac:dyDescent="0.5">
      <c r="A67" s="17">
        <v>67</v>
      </c>
      <c r="B67">
        <v>1</v>
      </c>
      <c r="C67" t="s">
        <v>179</v>
      </c>
      <c r="D67" s="7" t="s">
        <v>137</v>
      </c>
      <c r="E67" t="s">
        <v>165</v>
      </c>
      <c r="F67" t="s">
        <v>168</v>
      </c>
      <c r="G67" t="s">
        <v>166</v>
      </c>
    </row>
    <row r="68" spans="1:7" x14ac:dyDescent="0.5">
      <c r="A68" s="17">
        <v>68</v>
      </c>
      <c r="B68" s="2">
        <v>0</v>
      </c>
      <c r="C68" s="2" t="s">
        <v>87</v>
      </c>
      <c r="D68" s="10" t="s">
        <v>193</v>
      </c>
      <c r="E68" s="2"/>
      <c r="F68" s="2"/>
      <c r="G68" s="2"/>
    </row>
    <row r="69" spans="1:7" x14ac:dyDescent="0.5">
      <c r="A69" s="17">
        <v>69</v>
      </c>
      <c r="B69" s="2">
        <v>0</v>
      </c>
      <c r="C69" s="2" t="s">
        <v>87</v>
      </c>
      <c r="D69" s="10" t="s">
        <v>370</v>
      </c>
      <c r="E69" s="2"/>
      <c r="F69" s="2"/>
      <c r="G69" s="2"/>
    </row>
    <row r="70" spans="1:7" x14ac:dyDescent="0.5">
      <c r="A70" s="17">
        <v>70</v>
      </c>
      <c r="B70">
        <v>1</v>
      </c>
      <c r="C70" s="9" t="s">
        <v>106</v>
      </c>
      <c r="D70" t="s">
        <v>138</v>
      </c>
      <c r="E70" t="s">
        <v>187</v>
      </c>
      <c r="F70" t="s">
        <v>188</v>
      </c>
      <c r="G70" t="s">
        <v>189</v>
      </c>
    </row>
    <row r="86" spans="4:4" x14ac:dyDescent="0.5">
      <c r="D86" s="8"/>
    </row>
    <row r="87" spans="4:4" x14ac:dyDescent="0.5">
      <c r="D87" s="8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Vollständig</vt:lpstr>
      <vt:lpstr>An Fertiger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2022-03-30T02:11:27Z</dcterms:modified>
</cp:coreProperties>
</file>