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Buero\Projekte_Kunden\2021_TeKaDeRevival\"/>
    </mc:Choice>
  </mc:AlternateContent>
  <xr:revisionPtr revIDLastSave="0" documentId="13_ncr:1_{FC65D2B8-1266-4B23-9A44-0B3CAD3F73C7}" xr6:coauthVersionLast="36" xr6:coauthVersionMax="36" xr10:uidLastSave="{00000000-0000-0000-0000-000000000000}"/>
  <bookViews>
    <workbookView xWindow="0" yWindow="0" windowWidth="28800" windowHeight="11960" xr2:uid="{261E8F2A-9F01-4E4B-AED6-14B6866C8B8C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8" i="1" l="1"/>
  <c r="O19" i="1"/>
  <c r="N18" i="1"/>
  <c r="N19" i="1"/>
  <c r="O5" i="1" l="1"/>
  <c r="O6" i="1"/>
  <c r="O7" i="1"/>
  <c r="O8" i="1"/>
  <c r="O13" i="1"/>
  <c r="O14" i="1"/>
  <c r="O16" i="1"/>
  <c r="O17" i="1"/>
  <c r="O20" i="1"/>
  <c r="O22" i="1"/>
  <c r="O23" i="1"/>
  <c r="O4" i="1"/>
  <c r="N5" i="1"/>
  <c r="N6" i="1"/>
  <c r="N7" i="1"/>
  <c r="N8" i="1"/>
  <c r="N13" i="1"/>
  <c r="N14" i="1"/>
  <c r="N16" i="1"/>
  <c r="N17" i="1"/>
  <c r="N20" i="1"/>
  <c r="N22" i="1"/>
  <c r="N23" i="1"/>
  <c r="N4" i="1"/>
</calcChain>
</file>

<file path=xl/sharedStrings.xml><?xml version="1.0" encoding="utf-8"?>
<sst xmlns="http://schemas.openxmlformats.org/spreadsheetml/2006/main" count="344" uniqueCount="267">
  <si>
    <t>SOT-23</t>
  </si>
  <si>
    <t xml:space="preserve">4u7 50V X7R </t>
  </si>
  <si>
    <t>UMK316AB7475KL-T</t>
  </si>
  <si>
    <t>100n 50V X7R</t>
  </si>
  <si>
    <t>CC0603KRX7R9BB104</t>
  </si>
  <si>
    <t>1n 16V X7R</t>
  </si>
  <si>
    <t>885012206034</t>
  </si>
  <si>
    <t>Gesamtpreis</t>
  </si>
  <si>
    <t>L1</t>
  </si>
  <si>
    <t>L2</t>
  </si>
  <si>
    <t>R2</t>
  </si>
  <si>
    <t>47k</t>
  </si>
  <si>
    <t>470R</t>
  </si>
  <si>
    <t>D1</t>
  </si>
  <si>
    <t>D2</t>
  </si>
  <si>
    <t>MSP430FR2355TDBT</t>
  </si>
  <si>
    <t>TSSOP-38</t>
  </si>
  <si>
    <t>SOIC-8</t>
  </si>
  <si>
    <t>LM358MX/NOPB</t>
  </si>
  <si>
    <t>MM3Z3V3T1G</t>
  </si>
  <si>
    <t>Zener 3,3V</t>
  </si>
  <si>
    <t>SOD323</t>
  </si>
  <si>
    <t xml:space="preserve">1k </t>
  </si>
  <si>
    <t>R3</t>
  </si>
  <si>
    <t>Artikelnr</t>
  </si>
  <si>
    <t>10er Preis</t>
  </si>
  <si>
    <t>1000er Preis</t>
  </si>
  <si>
    <t>10er</t>
  </si>
  <si>
    <t>1000er</t>
  </si>
  <si>
    <t>C0805C106K9PACTU</t>
  </si>
  <si>
    <t>10u 6V3 X5R</t>
  </si>
  <si>
    <t>150060VS75000</t>
  </si>
  <si>
    <t>150060RS75000</t>
  </si>
  <si>
    <t>Button J</t>
  </si>
  <si>
    <t>PTS645-S-K-50-JSMTR92-LFS</t>
  </si>
  <si>
    <t>Series Schottky 40V 300mA</t>
  </si>
  <si>
    <t>12pol 5mm 1,5² Connector</t>
  </si>
  <si>
    <t>2pol 5mm 1,5² Connector</t>
  </si>
  <si>
    <t>BNC Horizontal</t>
  </si>
  <si>
    <t>1-1337543-0</t>
  </si>
  <si>
    <t>470u 63V</t>
  </si>
  <si>
    <t>SMBJ24A</t>
  </si>
  <si>
    <t>TVS 24V Uni</t>
  </si>
  <si>
    <t>ATP304-TL-H</t>
  </si>
  <si>
    <t>P MOSFET</t>
  </si>
  <si>
    <t>ATPAK</t>
  </si>
  <si>
    <t>SOD123</t>
  </si>
  <si>
    <t>BZT52C10-7-F</t>
  </si>
  <si>
    <t>Zener 10V 500mW</t>
  </si>
  <si>
    <t>SMB J-Bend</t>
  </si>
  <si>
    <t>IRLR8743TRPBF</t>
  </si>
  <si>
    <t>Logic N MOSFET 30V</t>
  </si>
  <si>
    <t>D-Pak</t>
  </si>
  <si>
    <t>U1</t>
  </si>
  <si>
    <t>SW1</t>
  </si>
  <si>
    <t>Q5</t>
  </si>
  <si>
    <t>D12</t>
  </si>
  <si>
    <t>J3</t>
  </si>
  <si>
    <t>J5</t>
  </si>
  <si>
    <t>C14</t>
  </si>
  <si>
    <t>C3</t>
  </si>
  <si>
    <t>0R</t>
  </si>
  <si>
    <t>4k7</t>
  </si>
  <si>
    <t>10k</t>
  </si>
  <si>
    <t>100R</t>
  </si>
  <si>
    <t>R34</t>
  </si>
  <si>
    <t>R37</t>
  </si>
  <si>
    <t>C20</t>
  </si>
  <si>
    <t>R40</t>
  </si>
  <si>
    <t>L3</t>
  </si>
  <si>
    <t>R19</t>
  </si>
  <si>
    <t>C4,  C8, C11</t>
  </si>
  <si>
    <t>UPW1J471MHD3</t>
  </si>
  <si>
    <t>240k 0,1%</t>
  </si>
  <si>
    <t>Item</t>
  </si>
  <si>
    <t>Qty</t>
  </si>
  <si>
    <t>Reference</t>
  </si>
  <si>
    <t>Mfr P/N</t>
  </si>
  <si>
    <t>Mfr</t>
  </si>
  <si>
    <t>Description</t>
  </si>
  <si>
    <t>Case</t>
  </si>
  <si>
    <t>Bourns</t>
  </si>
  <si>
    <t>Yageo</t>
  </si>
  <si>
    <t>KEMET</t>
  </si>
  <si>
    <t>Wurth Elektronik</t>
  </si>
  <si>
    <t>Taiyo Yuden</t>
  </si>
  <si>
    <t>Vishay</t>
  </si>
  <si>
    <t>CRCW06030000Z0EBC</t>
  </si>
  <si>
    <t>CR0805-FX-4700ELF</t>
  </si>
  <si>
    <t>RC0603FR-0747KL</t>
  </si>
  <si>
    <t>RC0603FR-074K7L</t>
  </si>
  <si>
    <t>RC0603FR-0710KL</t>
  </si>
  <si>
    <t>RC0603FR-07100RL</t>
  </si>
  <si>
    <t>Panasonic</t>
  </si>
  <si>
    <t>TI</t>
  </si>
  <si>
    <t>LED green</t>
  </si>
  <si>
    <t>LED red</t>
  </si>
  <si>
    <t>BAT54SFILMY</t>
  </si>
  <si>
    <t>ST</t>
  </si>
  <si>
    <t>Littelfuse</t>
  </si>
  <si>
    <t>Diodes Inc</t>
  </si>
  <si>
    <t>Infineon</t>
  </si>
  <si>
    <t>ON Semi</t>
  </si>
  <si>
    <t>C&amp;K Switches</t>
  </si>
  <si>
    <t>TE</t>
  </si>
  <si>
    <t>Nichicon</t>
  </si>
  <si>
    <t>TNPW0603240KBEEA</t>
  </si>
  <si>
    <t>MSP430 Controller</t>
  </si>
  <si>
    <t>OpAmp</t>
  </si>
  <si>
    <t>Buck Converter</t>
  </si>
  <si>
    <t>DISP1</t>
  </si>
  <si>
    <t>R5, R16</t>
  </si>
  <si>
    <t>R20, R21, R22, R31</t>
  </si>
  <si>
    <t>CR0805-FX-1001ELF</t>
  </si>
  <si>
    <t>Q1 -  Q3</t>
  </si>
  <si>
    <t>U4, U5, U6</t>
  </si>
  <si>
    <t>C17, C21, C25</t>
  </si>
  <si>
    <t>R36, R39, R42</t>
  </si>
  <si>
    <t>R23, R24, R25</t>
  </si>
  <si>
    <t>R1, R27, R28, R29</t>
  </si>
  <si>
    <t>U3</t>
  </si>
  <si>
    <t>D3, D4, D7, D9</t>
  </si>
  <si>
    <t>D11, D13, D14, D15</t>
  </si>
  <si>
    <t>10pol 5mm 1,5² Connector</t>
  </si>
  <si>
    <t>J2</t>
  </si>
  <si>
    <t>J4</t>
  </si>
  <si>
    <t>D6, D10, D16, D17</t>
  </si>
  <si>
    <t>R4, R6, R12</t>
  </si>
  <si>
    <t>C2, C5, C6, C10</t>
  </si>
  <si>
    <t>SMBJ24D-M3/H</t>
  </si>
  <si>
    <t>3M</t>
  </si>
  <si>
    <t>929975-01-07-RK</t>
  </si>
  <si>
    <t>Pinsocket 2x7 2,54mm</t>
  </si>
  <si>
    <t>Phoenix Contact</t>
  </si>
  <si>
    <t>1792960 (PTS 1,5/12-5,0-H)</t>
  </si>
  <si>
    <t>1792863 (PTS 1,5/ 2-5,0-H)</t>
  </si>
  <si>
    <t>1792944 (PTS 1,5/10-5,0-H)</t>
  </si>
  <si>
    <t>J1, J6</t>
  </si>
  <si>
    <t>ERJ-3RBD123V</t>
  </si>
  <si>
    <t>68k 0,5%</t>
  </si>
  <si>
    <t>12k 0,5%</t>
  </si>
  <si>
    <t>ERJ-3RBD6802V</t>
  </si>
  <si>
    <t>R7, R8, R9, R14, R26, R30</t>
  </si>
  <si>
    <t>Schottky 500mV 1A</t>
  </si>
  <si>
    <t>LMR16006XDDCR</t>
  </si>
  <si>
    <t>C1, C13, C19, C23, C27, C29</t>
  </si>
  <si>
    <t>TYS4030470M-10</t>
  </si>
  <si>
    <t>4x4mm</t>
  </si>
  <si>
    <t>TYS4030330M-10</t>
  </si>
  <si>
    <t>TYS4030680M-10</t>
  </si>
  <si>
    <t>Laird</t>
  </si>
  <si>
    <t>33u 840mA</t>
  </si>
  <si>
    <t>47u 720mA</t>
  </si>
  <si>
    <t>68u 520mA</t>
  </si>
  <si>
    <t>D5, D8, D18</t>
  </si>
  <si>
    <t>SOD323F</t>
  </si>
  <si>
    <t>Nexperia</t>
  </si>
  <si>
    <t>PMEG2010EJ</t>
  </si>
  <si>
    <t>C28</t>
  </si>
  <si>
    <t>C24</t>
  </si>
  <si>
    <t>TMK325BJ106MN-T</t>
  </si>
  <si>
    <t>Samsung</t>
  </si>
  <si>
    <t>CL32A226KPJNNNE</t>
  </si>
  <si>
    <t>10u 25V X5R/X7R</t>
  </si>
  <si>
    <t>22u 10V X5R/X7R</t>
  </si>
  <si>
    <t>33u 10V X5R/X7R</t>
  </si>
  <si>
    <t>C3225X5R1A336M200AC</t>
  </si>
  <si>
    <t>TDK</t>
  </si>
  <si>
    <t>8k45 / 1%</t>
  </si>
  <si>
    <t>R38</t>
  </si>
  <si>
    <t>28k / 1%</t>
  </si>
  <si>
    <t>R35</t>
  </si>
  <si>
    <t>R41</t>
  </si>
  <si>
    <t>57k6 / 1%</t>
  </si>
  <si>
    <t>6k04 / 1%</t>
  </si>
  <si>
    <t>88k7 / 1%</t>
  </si>
  <si>
    <t>ERJ-3EKF6041V</t>
  </si>
  <si>
    <t>ERJ-3EKF8451V</t>
  </si>
  <si>
    <t>ERJ-3EKF8872V</t>
  </si>
  <si>
    <t>ERJ-3EKF2802V</t>
  </si>
  <si>
    <t>ERJ-3EKF5762V</t>
  </si>
  <si>
    <t>ERJ-3EKF1052V</t>
  </si>
  <si>
    <t>10k5 / 1%</t>
  </si>
  <si>
    <t>120R</t>
  </si>
  <si>
    <t xml:space="preserve">	CR0805-FX-120ELF</t>
  </si>
  <si>
    <t>D19</t>
  </si>
  <si>
    <t>MURS140-13-F</t>
  </si>
  <si>
    <t>Rectifier 400V/2A</t>
  </si>
  <si>
    <t>R10, R17</t>
  </si>
  <si>
    <t>R11, R18</t>
  </si>
  <si>
    <t>C1</t>
  </si>
  <si>
    <t>C2</t>
  </si>
  <si>
    <t>220n/10V/X5R</t>
  </si>
  <si>
    <t>2u2/10V/X5R</t>
  </si>
  <si>
    <t>R1</t>
  </si>
  <si>
    <t>R2, R3, R4, R5, R6</t>
  </si>
  <si>
    <t>U1-U16</t>
  </si>
  <si>
    <t>U17</t>
  </si>
  <si>
    <t>Matrix Key Driver</t>
  </si>
  <si>
    <t>SOIC-20</t>
  </si>
  <si>
    <t>Switch Button</t>
  </si>
  <si>
    <t>SW1-SW18</t>
  </si>
  <si>
    <t>D3</t>
  </si>
  <si>
    <t>D4</t>
  </si>
  <si>
    <t>D5-D9</t>
  </si>
  <si>
    <t>J1</t>
  </si>
  <si>
    <t>MM74C923WM</t>
  </si>
  <si>
    <t>Fairchild</t>
  </si>
  <si>
    <t>Siemens</t>
  </si>
  <si>
    <t>HD1077R</t>
  </si>
  <si>
    <t>7 Segment Display RED CC</t>
  </si>
  <si>
    <t>N/A</t>
  </si>
  <si>
    <t>C&amp;K</t>
  </si>
  <si>
    <t>TE Connectivity</t>
  </si>
  <si>
    <t>1571634-2</t>
  </si>
  <si>
    <t>6x6mm Gullw.</t>
  </si>
  <si>
    <t>506-1571634-2</t>
  </si>
  <si>
    <t>Distributor</t>
  </si>
  <si>
    <t>Mouser</t>
  </si>
  <si>
    <t>KST221GLFS</t>
  </si>
  <si>
    <t>611-KST221GLFS</t>
  </si>
  <si>
    <t>Aeri</t>
  </si>
  <si>
    <t>on request</t>
  </si>
  <si>
    <t>EMK107BJ104KAHT</t>
  </si>
  <si>
    <t>963-EMK107BJ104KAHT</t>
  </si>
  <si>
    <t>AEC-Q200</t>
  </si>
  <si>
    <t>Qualification</t>
  </si>
  <si>
    <t>100n/16V/X5R</t>
  </si>
  <si>
    <t>LMK107BJ225KAHT</t>
  </si>
  <si>
    <t>963-LMK107BJ225KAHT</t>
  </si>
  <si>
    <t>EMK107BJ224KAHT</t>
  </si>
  <si>
    <t>963-EMK107BJ224KAHT</t>
  </si>
  <si>
    <t>RoHS ???</t>
  </si>
  <si>
    <t>QT Brightek (QTB)</t>
  </si>
  <si>
    <t>QBL7IW60D-WW</t>
  </si>
  <si>
    <t>1516-QBL7IW60D-WW-ND</t>
  </si>
  <si>
    <t>Digikey</t>
  </si>
  <si>
    <t>LED WW DIFF</t>
  </si>
  <si>
    <t>68602-116HLF</t>
  </si>
  <si>
    <t>Amphenol FCI</t>
  </si>
  <si>
    <t>649-68602-116HLF</t>
  </si>
  <si>
    <t>MateLen 5,84mm</t>
  </si>
  <si>
    <t>Pinheader 2x08 P2,54 Vert</t>
  </si>
  <si>
    <t>Pinheader 2x15 P2,54 Vert</t>
  </si>
  <si>
    <t>68602-130HLF</t>
  </si>
  <si>
    <t>649-68602-130HLF</t>
  </si>
  <si>
    <t>THT 5,10mm</t>
  </si>
  <si>
    <t>LDR 7,0x6,35mm</t>
  </si>
  <si>
    <t>T-1 3/4 (5mm)</t>
  </si>
  <si>
    <t>T-1 (3mm)</t>
  </si>
  <si>
    <t>Lumex</t>
  </si>
  <si>
    <t>SSL-LX3044AD</t>
  </si>
  <si>
    <t>SSL-LX5093AD</t>
  </si>
  <si>
    <t>696-SSL-LX5093AD</t>
  </si>
  <si>
    <t>696-SSL-LX3044AD</t>
  </si>
  <si>
    <t>LED AMBER TINTED DIFF 60° 610nm</t>
  </si>
  <si>
    <t>SSL-LX5093LGD-TR</t>
  </si>
  <si>
    <t>LED GN TINTED DIFF  60° 565nm</t>
  </si>
  <si>
    <t>696-SSL-LX5093LGD-TR</t>
  </si>
  <si>
    <t>SSL-LX5093SRD/D</t>
  </si>
  <si>
    <t>LED RD TINTED DIFF  60° 640nm</t>
  </si>
  <si>
    <t>696-LX5093SRD/D</t>
  </si>
  <si>
    <t>210R/5%</t>
  </si>
  <si>
    <t>YAGEO</t>
  </si>
  <si>
    <t>AC0603FR-07210RL</t>
  </si>
  <si>
    <t>603-AC0603FR-07210RL</t>
  </si>
  <si>
    <t>VORLÄUFIG !!!!!!!!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</si>
</sst>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#,##0.00\ &quot;€&quot;"/>
  </numFmts>
  <fonts count="7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4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1" fillId="0" borderId="0" xfId="1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2" fillId="2" borderId="0" xfId="0" applyFont="1" applyFill="1"/>
    <xf numFmtId="165" fontId="2" fillId="2" borderId="0" xfId="0" applyNumberFormat="1" applyFont="1" applyFill="1"/>
    <xf numFmtId="0" fontId="0" fillId="0" borderId="0" xfId="0" applyFill="1"/>
    <xf numFmtId="0" fontId="4" fillId="0" borderId="0" xfId="2"/>
    <xf numFmtId="165" fontId="0" fillId="0" borderId="0" xfId="0" applyNumberFormat="1" applyFill="1"/>
    <xf numFmtId="0" fontId="3" fillId="0" borderId="0" xfId="0" applyFont="1" applyFill="1"/>
    <xf numFmtId="0" fontId="1" fillId="0" borderId="0" xfId="1" applyFill="1"/>
    <xf numFmtId="0" fontId="3" fillId="0" borderId="0" xfId="0" applyFont="1" applyFill="1" applyAlignment="1">
      <alignment horizontal="left"/>
    </xf>
    <xf numFmtId="0" fontId="3" fillId="0" borderId="0" xfId="0" applyFont="1"/>
    <xf numFmtId="49" fontId="0" fillId="0" borderId="0" xfId="0" applyNumberFormat="1" applyFill="1"/>
    <xf numFmtId="0" fontId="0" fillId="3" borderId="0" xfId="0" applyFill="1"/>
    <xf numFmtId="44" fontId="0" fillId="0" borderId="0" xfId="3" applyFont="1" applyFill="1"/>
    <xf numFmtId="44" fontId="1" fillId="0" borderId="0" xfId="3" applyFont="1" applyFill="1"/>
    <xf numFmtId="44" fontId="0" fillId="0" borderId="0" xfId="3" applyFont="1"/>
    <xf numFmtId="44" fontId="0" fillId="3" borderId="0" xfId="3" applyFont="1" applyFill="1"/>
    <xf numFmtId="0" fontId="1" fillId="2" borderId="0" xfId="1" applyFill="1"/>
    <xf numFmtId="0" fontId="0" fillId="0" borderId="0" xfId="0" applyAlignment="1">
      <alignment horizontal="center"/>
    </xf>
    <xf numFmtId="0" fontId="6" fillId="0" borderId="0" xfId="0" applyFont="1"/>
  </cellXfs>
  <cellStyles count="4">
    <cellStyle name="Erklärender Text" xfId="1" builtinId="53"/>
    <cellStyle name="Link" xfId="2" builtinId="8"/>
    <cellStyle name="Standard" xfId="0" builtinId="0"/>
    <cellStyle name="Währung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861-D339-4CAE-9A46-3EF0A1CCE7F9}">
  <dimension ref="A1:Y40"/>
  <sheetViews>
    <sheetView tabSelected="1" workbookViewId="0">
      <selection activeCell="D27" sqref="D27"/>
    </sheetView>
  </sheetViews>
  <sheetFormatPr baseColWidth="10" defaultRowHeight="14.5" outlineLevelCol="1" x14ac:dyDescent="0.35"/>
  <cols>
    <col min="1" max="1" width="4.36328125" bestFit="1" customWidth="1"/>
    <col min="2" max="2" width="5.36328125" customWidth="1"/>
    <col min="3" max="3" width="30.6328125" bestFit="1" customWidth="1"/>
    <col min="4" max="4" width="26.36328125" customWidth="1"/>
    <col min="5" max="5" width="16.08984375" customWidth="1"/>
    <col min="6" max="6" width="24" bestFit="1" customWidth="1"/>
    <col min="7" max="7" width="11.6328125" customWidth="1"/>
    <col min="8" max="8" width="15.26953125" bestFit="1" customWidth="1"/>
    <col min="9" max="9" width="2.81640625" style="3" customWidth="1" outlineLevel="1"/>
    <col min="10" max="10" width="23.81640625" customWidth="1" outlineLevel="1"/>
    <col min="11" max="11" width="13" bestFit="1" customWidth="1" outlineLevel="1"/>
    <col min="12" max="13" width="11" customWidth="1" outlineLevel="1"/>
    <col min="14" max="15" width="10.90625" customWidth="1" outlineLevel="1"/>
    <col min="16" max="16" width="18.90625" customWidth="1" outlineLevel="1"/>
    <col min="17" max="25" width="10.90625" customWidth="1" outlineLevel="1"/>
  </cols>
  <sheetData>
    <row r="1" spans="1:15" ht="61.5" x14ac:dyDescent="1.35">
      <c r="D1" s="23" t="s">
        <v>266</v>
      </c>
      <c r="L1" s="1"/>
      <c r="M1" s="1"/>
      <c r="N1" s="1"/>
    </row>
    <row r="2" spans="1:15" x14ac:dyDescent="0.35">
      <c r="J2" s="22"/>
      <c r="K2" s="22"/>
      <c r="L2" s="22"/>
      <c r="M2" s="22"/>
      <c r="N2" s="22" t="s">
        <v>7</v>
      </c>
      <c r="O2" s="22"/>
    </row>
    <row r="3" spans="1:15" x14ac:dyDescent="0.35">
      <c r="A3" t="s">
        <v>74</v>
      </c>
      <c r="B3" t="s">
        <v>75</v>
      </c>
      <c r="C3" t="s">
        <v>79</v>
      </c>
      <c r="D3" t="s">
        <v>76</v>
      </c>
      <c r="E3" t="s">
        <v>78</v>
      </c>
      <c r="F3" t="s">
        <v>77</v>
      </c>
      <c r="G3" t="s">
        <v>226</v>
      </c>
      <c r="H3" t="s">
        <v>80</v>
      </c>
      <c r="J3" t="s">
        <v>24</v>
      </c>
      <c r="K3" t="s">
        <v>217</v>
      </c>
      <c r="L3" t="s">
        <v>25</v>
      </c>
      <c r="M3" t="s">
        <v>26</v>
      </c>
      <c r="N3" t="s">
        <v>27</v>
      </c>
      <c r="O3" t="s">
        <v>28</v>
      </c>
    </row>
    <row r="4" spans="1:15" s="8" customFormat="1" x14ac:dyDescent="0.35">
      <c r="A4" s="8">
        <v>1</v>
      </c>
      <c r="B4" s="8">
        <v>1</v>
      </c>
      <c r="C4" s="8" t="s">
        <v>227</v>
      </c>
      <c r="D4" s="8" t="s">
        <v>190</v>
      </c>
      <c r="E4" s="8" t="s">
        <v>85</v>
      </c>
      <c r="F4" s="8" t="s">
        <v>223</v>
      </c>
      <c r="G4" s="8" t="s">
        <v>225</v>
      </c>
      <c r="H4" s="8">
        <v>603</v>
      </c>
      <c r="I4" s="3"/>
      <c r="J4" s="8" t="s">
        <v>224</v>
      </c>
      <c r="K4" s="8" t="s">
        <v>218</v>
      </c>
      <c r="L4" s="17">
        <v>2.5999999999999999E-2</v>
      </c>
      <c r="M4" s="17">
        <v>1.6E-2</v>
      </c>
      <c r="N4" s="17">
        <f>B4*L4</f>
        <v>2.5999999999999999E-2</v>
      </c>
      <c r="O4" s="17">
        <f>M4*B4</f>
        <v>1.6E-2</v>
      </c>
    </row>
    <row r="5" spans="1:15" s="8" customFormat="1" x14ac:dyDescent="0.35">
      <c r="A5" s="8">
        <v>2</v>
      </c>
      <c r="B5" s="8">
        <v>1</v>
      </c>
      <c r="C5" s="8" t="s">
        <v>193</v>
      </c>
      <c r="D5" s="8" t="s">
        <v>191</v>
      </c>
      <c r="E5" s="8" t="s">
        <v>85</v>
      </c>
      <c r="F5" s="8" t="s">
        <v>228</v>
      </c>
      <c r="G5" s="8" t="s">
        <v>225</v>
      </c>
      <c r="H5" s="8">
        <v>603</v>
      </c>
      <c r="I5" s="3"/>
      <c r="J5" s="8" t="s">
        <v>229</v>
      </c>
      <c r="K5" s="8" t="s">
        <v>218</v>
      </c>
      <c r="L5" s="17">
        <v>6.4000000000000001E-2</v>
      </c>
      <c r="M5" s="17">
        <v>2.1000000000000001E-2</v>
      </c>
      <c r="N5" s="17">
        <f t="shared" ref="N5:N23" si="0">B5*L5</f>
        <v>6.4000000000000001E-2</v>
      </c>
      <c r="O5" s="17">
        <f t="shared" ref="O5:O23" si="1">M5*B5</f>
        <v>2.1000000000000001E-2</v>
      </c>
    </row>
    <row r="6" spans="1:15" s="8" customFormat="1" x14ac:dyDescent="0.35">
      <c r="A6" s="8">
        <v>3</v>
      </c>
      <c r="B6" s="8">
        <v>1</v>
      </c>
      <c r="C6" s="8" t="s">
        <v>192</v>
      </c>
      <c r="D6" s="8" t="s">
        <v>60</v>
      </c>
      <c r="E6" s="8" t="s">
        <v>85</v>
      </c>
      <c r="F6" s="15" t="s">
        <v>230</v>
      </c>
      <c r="G6" s="8" t="s">
        <v>225</v>
      </c>
      <c r="H6" s="8">
        <v>603</v>
      </c>
      <c r="I6" s="3"/>
      <c r="J6" s="8" t="s">
        <v>231</v>
      </c>
      <c r="K6" s="8" t="s">
        <v>218</v>
      </c>
      <c r="L6" s="17">
        <v>5.8000000000000003E-2</v>
      </c>
      <c r="M6" s="17">
        <v>1.7999999999999999E-2</v>
      </c>
      <c r="N6" s="17">
        <f t="shared" si="0"/>
        <v>5.8000000000000003E-2</v>
      </c>
      <c r="O6" s="17">
        <f t="shared" si="1"/>
        <v>1.7999999999999999E-2</v>
      </c>
    </row>
    <row r="7" spans="1:15" s="16" customFormat="1" x14ac:dyDescent="0.35">
      <c r="A7" s="16">
        <v>4</v>
      </c>
      <c r="B7" s="16">
        <v>1</v>
      </c>
      <c r="C7" s="16" t="s">
        <v>247</v>
      </c>
      <c r="D7" s="16" t="s">
        <v>194</v>
      </c>
      <c r="H7" s="16" t="s">
        <v>246</v>
      </c>
      <c r="I7" s="3"/>
      <c r="L7" s="20"/>
      <c r="M7" s="20"/>
      <c r="N7" s="20">
        <f t="shared" si="0"/>
        <v>0</v>
      </c>
      <c r="O7" s="20">
        <f t="shared" si="1"/>
        <v>0</v>
      </c>
    </row>
    <row r="8" spans="1:15" x14ac:dyDescent="0.35">
      <c r="A8">
        <v>5</v>
      </c>
      <c r="B8">
        <v>5</v>
      </c>
      <c r="C8" t="s">
        <v>262</v>
      </c>
      <c r="D8" t="s">
        <v>195</v>
      </c>
      <c r="E8" t="s">
        <v>263</v>
      </c>
      <c r="F8" t="s">
        <v>264</v>
      </c>
      <c r="G8" t="s">
        <v>225</v>
      </c>
      <c r="H8">
        <v>603</v>
      </c>
      <c r="J8" t="s">
        <v>265</v>
      </c>
      <c r="K8" t="s">
        <v>218</v>
      </c>
      <c r="L8" s="19">
        <v>2.5000000000000001E-2</v>
      </c>
      <c r="M8" s="19">
        <v>2.1000000000000001E-2</v>
      </c>
      <c r="N8" s="19">
        <f t="shared" si="0"/>
        <v>0.125</v>
      </c>
      <c r="O8" s="19">
        <f t="shared" si="1"/>
        <v>0.10500000000000001</v>
      </c>
    </row>
    <row r="9" spans="1:15" s="3" customFormat="1" x14ac:dyDescent="0.35">
      <c r="L9" s="4"/>
      <c r="M9" s="4"/>
      <c r="N9" s="5"/>
      <c r="O9" s="5"/>
    </row>
    <row r="10" spans="1:15" s="8" customFormat="1" x14ac:dyDescent="0.35">
      <c r="A10" s="8">
        <v>6</v>
      </c>
      <c r="B10" s="8">
        <v>16</v>
      </c>
      <c r="C10" s="8" t="s">
        <v>210</v>
      </c>
      <c r="D10" s="8" t="s">
        <v>196</v>
      </c>
      <c r="E10" s="8" t="s">
        <v>208</v>
      </c>
      <c r="F10" s="8" t="s">
        <v>209</v>
      </c>
      <c r="G10" s="8" t="s">
        <v>232</v>
      </c>
      <c r="H10" s="8" t="s">
        <v>211</v>
      </c>
      <c r="I10" s="3"/>
      <c r="J10" s="8" t="s">
        <v>209</v>
      </c>
      <c r="K10" s="8" t="s">
        <v>221</v>
      </c>
      <c r="L10" s="10" t="s">
        <v>222</v>
      </c>
      <c r="M10" s="17"/>
      <c r="N10" s="17"/>
      <c r="O10" s="17"/>
    </row>
    <row r="11" spans="1:15" s="8" customFormat="1" x14ac:dyDescent="0.35">
      <c r="A11" s="8">
        <v>7</v>
      </c>
      <c r="B11" s="8">
        <v>1</v>
      </c>
      <c r="C11" s="8" t="s">
        <v>198</v>
      </c>
      <c r="D11" s="8" t="s">
        <v>197</v>
      </c>
      <c r="E11" s="8" t="s">
        <v>207</v>
      </c>
      <c r="F11" s="8" t="s">
        <v>206</v>
      </c>
      <c r="G11" s="8" t="s">
        <v>232</v>
      </c>
      <c r="H11" s="8" t="s">
        <v>199</v>
      </c>
      <c r="I11" s="3"/>
      <c r="J11" s="8" t="s">
        <v>206</v>
      </c>
      <c r="K11" s="8" t="s">
        <v>221</v>
      </c>
      <c r="L11" s="10" t="s">
        <v>222</v>
      </c>
      <c r="M11" s="17"/>
      <c r="N11" s="17"/>
      <c r="O11" s="17"/>
    </row>
    <row r="12" spans="1:15" s="3" customFormat="1" x14ac:dyDescent="0.35">
      <c r="L12" s="4"/>
      <c r="M12" s="4"/>
      <c r="N12" s="5"/>
      <c r="O12" s="5"/>
    </row>
    <row r="13" spans="1:15" s="8" customFormat="1" x14ac:dyDescent="0.35">
      <c r="A13" s="8">
        <v>8</v>
      </c>
      <c r="B13" s="8">
        <v>18</v>
      </c>
      <c r="C13" s="8" t="s">
        <v>200</v>
      </c>
      <c r="D13" s="8" t="s">
        <v>201</v>
      </c>
      <c r="E13" s="8" t="s">
        <v>212</v>
      </c>
      <c r="F13" s="8" t="s">
        <v>219</v>
      </c>
      <c r="H13" s="8" t="s">
        <v>215</v>
      </c>
      <c r="I13" s="3"/>
      <c r="J13" s="8" t="s">
        <v>220</v>
      </c>
      <c r="K13" s="8" t="s">
        <v>218</v>
      </c>
      <c r="L13" s="17">
        <v>0.67300000000000004</v>
      </c>
      <c r="M13" s="17">
        <v>0.51200000000000001</v>
      </c>
      <c r="N13" s="17">
        <f t="shared" si="0"/>
        <v>12.114000000000001</v>
      </c>
      <c r="O13" s="17">
        <f t="shared" si="1"/>
        <v>9.2160000000000011</v>
      </c>
    </row>
    <row r="14" spans="1:15" s="12" customFormat="1" x14ac:dyDescent="0.35">
      <c r="A14" s="12">
        <v>9</v>
      </c>
      <c r="B14" s="12">
        <v>0</v>
      </c>
      <c r="C14" s="12" t="s">
        <v>200</v>
      </c>
      <c r="D14" s="12" t="s">
        <v>201</v>
      </c>
      <c r="E14" s="12" t="s">
        <v>213</v>
      </c>
      <c r="F14" s="12" t="s">
        <v>214</v>
      </c>
      <c r="H14" s="12" t="s">
        <v>215</v>
      </c>
      <c r="I14" s="21"/>
      <c r="J14" s="12" t="s">
        <v>216</v>
      </c>
      <c r="K14" s="12" t="s">
        <v>218</v>
      </c>
      <c r="L14" s="18">
        <v>0.40699999999999997</v>
      </c>
      <c r="M14" s="18">
        <v>0.246</v>
      </c>
      <c r="N14" s="18">
        <f t="shared" si="0"/>
        <v>0</v>
      </c>
      <c r="O14" s="18">
        <f t="shared" si="1"/>
        <v>0</v>
      </c>
    </row>
    <row r="15" spans="1:15" s="3" customFormat="1" x14ac:dyDescent="0.35">
      <c r="L15" s="4"/>
      <c r="M15" s="4"/>
      <c r="N15" s="5"/>
      <c r="O15" s="5"/>
    </row>
    <row r="16" spans="1:15" x14ac:dyDescent="0.35">
      <c r="A16">
        <v>10</v>
      </c>
      <c r="B16">
        <v>1</v>
      </c>
      <c r="C16" t="s">
        <v>260</v>
      </c>
      <c r="D16" t="s">
        <v>13</v>
      </c>
      <c r="E16" t="s">
        <v>250</v>
      </c>
      <c r="F16" t="s">
        <v>259</v>
      </c>
      <c r="H16" t="s">
        <v>248</v>
      </c>
      <c r="J16" t="s">
        <v>261</v>
      </c>
      <c r="K16" t="s">
        <v>218</v>
      </c>
      <c r="L16" s="19">
        <v>0.20899999999999999</v>
      </c>
      <c r="M16" s="19">
        <v>9.2999999999999999E-2</v>
      </c>
      <c r="N16" s="19">
        <f t="shared" si="0"/>
        <v>0.20899999999999999</v>
      </c>
      <c r="O16" s="19">
        <f t="shared" si="1"/>
        <v>9.2999999999999999E-2</v>
      </c>
    </row>
    <row r="17" spans="1:15" x14ac:dyDescent="0.35">
      <c r="A17">
        <v>11</v>
      </c>
      <c r="B17">
        <v>1</v>
      </c>
      <c r="C17" t="s">
        <v>255</v>
      </c>
      <c r="D17" t="s">
        <v>14</v>
      </c>
      <c r="E17" t="s">
        <v>250</v>
      </c>
      <c r="F17" t="s">
        <v>252</v>
      </c>
      <c r="H17" t="s">
        <v>248</v>
      </c>
      <c r="J17" t="s">
        <v>253</v>
      </c>
      <c r="K17" t="s">
        <v>218</v>
      </c>
      <c r="L17" s="19">
        <v>0.247</v>
      </c>
      <c r="M17" s="19">
        <v>9.5000000000000001E-2</v>
      </c>
      <c r="N17" s="19">
        <f t="shared" si="0"/>
        <v>0.247</v>
      </c>
      <c r="O17" s="19">
        <f t="shared" si="1"/>
        <v>9.5000000000000001E-2</v>
      </c>
    </row>
    <row r="18" spans="1:15" x14ac:dyDescent="0.35">
      <c r="A18">
        <v>12</v>
      </c>
      <c r="B18">
        <v>1</v>
      </c>
      <c r="C18" t="s">
        <v>257</v>
      </c>
      <c r="D18" t="s">
        <v>202</v>
      </c>
      <c r="E18" t="s">
        <v>250</v>
      </c>
      <c r="F18" t="s">
        <v>256</v>
      </c>
      <c r="H18" t="s">
        <v>248</v>
      </c>
      <c r="J18" t="s">
        <v>258</v>
      </c>
      <c r="K18" t="s">
        <v>218</v>
      </c>
      <c r="L18" s="19">
        <v>0.23400000000000001</v>
      </c>
      <c r="M18" s="19">
        <v>0.11700000000000001</v>
      </c>
      <c r="N18" s="19">
        <f>B18*L18</f>
        <v>0.23400000000000001</v>
      </c>
      <c r="O18" s="19">
        <f t="shared" si="1"/>
        <v>0.11700000000000001</v>
      </c>
    </row>
    <row r="19" spans="1:15" x14ac:dyDescent="0.35">
      <c r="A19">
        <v>13</v>
      </c>
      <c r="B19">
        <v>1</v>
      </c>
      <c r="C19" t="s">
        <v>255</v>
      </c>
      <c r="D19" t="s">
        <v>203</v>
      </c>
      <c r="E19" t="s">
        <v>250</v>
      </c>
      <c r="F19" t="s">
        <v>251</v>
      </c>
      <c r="H19" t="s">
        <v>249</v>
      </c>
      <c r="J19" t="s">
        <v>254</v>
      </c>
      <c r="K19" t="s">
        <v>218</v>
      </c>
      <c r="L19" s="19">
        <v>0.26200000000000001</v>
      </c>
      <c r="M19" s="19">
        <v>0.1</v>
      </c>
      <c r="N19" s="19">
        <f>B19*L19</f>
        <v>0.26200000000000001</v>
      </c>
      <c r="O19" s="19">
        <f>M19*B19</f>
        <v>0.1</v>
      </c>
    </row>
    <row r="20" spans="1:15" x14ac:dyDescent="0.35">
      <c r="A20">
        <v>14</v>
      </c>
      <c r="B20">
        <v>5</v>
      </c>
      <c r="C20" t="s">
        <v>237</v>
      </c>
      <c r="D20" t="s">
        <v>204</v>
      </c>
      <c r="E20" t="s">
        <v>233</v>
      </c>
      <c r="F20" t="s">
        <v>234</v>
      </c>
      <c r="H20" t="s">
        <v>249</v>
      </c>
      <c r="J20" t="s">
        <v>235</v>
      </c>
      <c r="K20" t="s">
        <v>236</v>
      </c>
      <c r="L20" s="19">
        <v>0.35</v>
      </c>
      <c r="M20" s="19">
        <v>0.183</v>
      </c>
      <c r="N20" s="19">
        <f t="shared" si="0"/>
        <v>1.75</v>
      </c>
      <c r="O20" s="19">
        <f t="shared" si="1"/>
        <v>0.91500000000000004</v>
      </c>
    </row>
    <row r="21" spans="1:15" s="3" customFormat="1" x14ac:dyDescent="0.35">
      <c r="L21" s="4"/>
      <c r="M21" s="4"/>
      <c r="N21" s="5"/>
      <c r="O21" s="5"/>
    </row>
    <row r="22" spans="1:15" x14ac:dyDescent="0.35">
      <c r="A22">
        <v>15</v>
      </c>
      <c r="B22">
        <v>1</v>
      </c>
      <c r="C22" t="s">
        <v>242</v>
      </c>
      <c r="D22" t="s">
        <v>205</v>
      </c>
      <c r="E22" t="s">
        <v>239</v>
      </c>
      <c r="F22" t="s">
        <v>238</v>
      </c>
      <c r="H22" t="s">
        <v>241</v>
      </c>
      <c r="J22" t="s">
        <v>240</v>
      </c>
      <c r="K22" t="s">
        <v>218</v>
      </c>
      <c r="L22" s="19">
        <v>0.70799999999999996</v>
      </c>
      <c r="M22" s="19">
        <v>0.51800000000000002</v>
      </c>
      <c r="N22" s="19">
        <f t="shared" si="0"/>
        <v>0.70799999999999996</v>
      </c>
      <c r="O22" s="19">
        <f t="shared" si="1"/>
        <v>0.51800000000000002</v>
      </c>
    </row>
    <row r="23" spans="1:15" x14ac:dyDescent="0.35">
      <c r="A23">
        <v>16</v>
      </c>
      <c r="B23">
        <v>1</v>
      </c>
      <c r="C23" t="s">
        <v>243</v>
      </c>
      <c r="D23" t="s">
        <v>124</v>
      </c>
      <c r="E23" t="s">
        <v>239</v>
      </c>
      <c r="F23" t="s">
        <v>244</v>
      </c>
      <c r="H23" t="s">
        <v>241</v>
      </c>
      <c r="J23" t="s">
        <v>245</v>
      </c>
      <c r="K23" t="s">
        <v>218</v>
      </c>
      <c r="L23" s="19">
        <v>1.23</v>
      </c>
      <c r="M23" s="19">
        <v>1.05</v>
      </c>
      <c r="N23" s="19">
        <f t="shared" si="0"/>
        <v>1.23</v>
      </c>
      <c r="O23" s="19">
        <f t="shared" si="1"/>
        <v>1.05</v>
      </c>
    </row>
    <row r="24" spans="1:15" s="6" customFormat="1" x14ac:dyDescent="0.35">
      <c r="L24" s="7"/>
      <c r="M24" s="7"/>
    </row>
    <row r="25" spans="1:15" x14ac:dyDescent="0.35">
      <c r="N25" s="1"/>
    </row>
    <row r="26" spans="1:15" x14ac:dyDescent="0.35">
      <c r="N26" s="1"/>
    </row>
    <row r="30" spans="1:15" x14ac:dyDescent="0.35">
      <c r="L30" s="1"/>
      <c r="M30" s="1"/>
      <c r="N30" s="1"/>
      <c r="O30" s="1"/>
    </row>
    <row r="39" spans="4:4" x14ac:dyDescent="0.35">
      <c r="D39" s="9"/>
    </row>
    <row r="40" spans="4:4" x14ac:dyDescent="0.35">
      <c r="D40" s="9"/>
    </row>
  </sheetData>
  <mergeCells count="2">
    <mergeCell ref="J2:M2"/>
    <mergeCell ref="N2:O2"/>
  </mergeCells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33BD-547D-42DF-9191-F750D2579582}">
  <dimension ref="A2:G53"/>
  <sheetViews>
    <sheetView workbookViewId="0">
      <selection activeCell="K37" sqref="K37"/>
    </sheetView>
  </sheetViews>
  <sheetFormatPr baseColWidth="10" defaultRowHeight="14.5" x14ac:dyDescent="0.35"/>
  <cols>
    <col min="1" max="1" width="4.36328125" bestFit="1" customWidth="1"/>
    <col min="2" max="2" width="5.36328125" customWidth="1"/>
    <col min="3" max="3" width="25.54296875" bestFit="1" customWidth="1"/>
    <col min="4" max="4" width="26.36328125" customWidth="1"/>
    <col min="5" max="5" width="16.08984375" customWidth="1"/>
    <col min="6" max="6" width="24" bestFit="1" customWidth="1"/>
    <col min="7" max="7" width="11" bestFit="1" customWidth="1"/>
  </cols>
  <sheetData>
    <row r="2" spans="1:7" x14ac:dyDescent="0.35">
      <c r="A2" t="s">
        <v>74</v>
      </c>
      <c r="B2" t="s">
        <v>75</v>
      </c>
      <c r="C2" t="s">
        <v>79</v>
      </c>
      <c r="D2" t="s">
        <v>76</v>
      </c>
      <c r="E2" t="s">
        <v>78</v>
      </c>
      <c r="F2" t="s">
        <v>77</v>
      </c>
      <c r="G2" t="s">
        <v>80</v>
      </c>
    </row>
    <row r="3" spans="1:7" x14ac:dyDescent="0.35">
      <c r="A3">
        <v>1</v>
      </c>
      <c r="B3">
        <v>6</v>
      </c>
      <c r="C3" t="s">
        <v>3</v>
      </c>
      <c r="D3" t="s">
        <v>145</v>
      </c>
      <c r="E3" t="s">
        <v>82</v>
      </c>
      <c r="F3" t="s">
        <v>4</v>
      </c>
      <c r="G3">
        <v>603</v>
      </c>
    </row>
    <row r="4" spans="1:7" s="14" customFormat="1" x14ac:dyDescent="0.35">
      <c r="A4" s="11">
        <v>2</v>
      </c>
      <c r="B4" s="11">
        <v>1</v>
      </c>
      <c r="C4" s="11" t="s">
        <v>30</v>
      </c>
      <c r="D4" s="11" t="s">
        <v>60</v>
      </c>
      <c r="E4" s="11" t="s">
        <v>83</v>
      </c>
      <c r="F4" s="11" t="s">
        <v>29</v>
      </c>
      <c r="G4" s="11">
        <v>805</v>
      </c>
    </row>
    <row r="5" spans="1:7" x14ac:dyDescent="0.35">
      <c r="A5">
        <v>3</v>
      </c>
      <c r="B5" s="8">
        <v>3</v>
      </c>
      <c r="C5" s="8" t="s">
        <v>5</v>
      </c>
      <c r="D5" s="8" t="s">
        <v>71</v>
      </c>
      <c r="E5" s="8" t="s">
        <v>84</v>
      </c>
      <c r="F5" s="8" t="s">
        <v>6</v>
      </c>
      <c r="G5" s="8">
        <v>603</v>
      </c>
    </row>
    <row r="6" spans="1:7" x14ac:dyDescent="0.35">
      <c r="A6" s="11">
        <v>4</v>
      </c>
      <c r="B6" s="8">
        <v>1</v>
      </c>
      <c r="C6" s="8" t="s">
        <v>40</v>
      </c>
      <c r="D6" s="8" t="s">
        <v>59</v>
      </c>
      <c r="E6" s="8" t="s">
        <v>105</v>
      </c>
      <c r="F6" s="8" t="s">
        <v>72</v>
      </c>
      <c r="G6" s="8"/>
    </row>
    <row r="7" spans="1:7" s="14" customFormat="1" x14ac:dyDescent="0.35">
      <c r="A7">
        <v>5</v>
      </c>
      <c r="B7" s="11">
        <v>3</v>
      </c>
      <c r="C7" s="11" t="s">
        <v>1</v>
      </c>
      <c r="D7" s="11" t="s">
        <v>116</v>
      </c>
      <c r="E7" s="11" t="s">
        <v>85</v>
      </c>
      <c r="F7" s="11" t="s">
        <v>2</v>
      </c>
      <c r="G7" s="11">
        <v>1206</v>
      </c>
    </row>
    <row r="8" spans="1:7" x14ac:dyDescent="0.35">
      <c r="A8" s="11">
        <v>6</v>
      </c>
      <c r="B8">
        <v>1</v>
      </c>
      <c r="C8" t="s">
        <v>163</v>
      </c>
      <c r="D8" t="s">
        <v>67</v>
      </c>
      <c r="E8" t="s">
        <v>85</v>
      </c>
      <c r="F8" t="s">
        <v>160</v>
      </c>
      <c r="G8">
        <v>1210</v>
      </c>
    </row>
    <row r="9" spans="1:7" x14ac:dyDescent="0.35">
      <c r="A9">
        <v>7</v>
      </c>
      <c r="B9">
        <v>2</v>
      </c>
      <c r="C9" t="s">
        <v>164</v>
      </c>
      <c r="D9" t="s">
        <v>158</v>
      </c>
      <c r="E9" t="s">
        <v>161</v>
      </c>
      <c r="F9" t="s">
        <v>162</v>
      </c>
      <c r="G9">
        <v>1210</v>
      </c>
    </row>
    <row r="10" spans="1:7" x14ac:dyDescent="0.35">
      <c r="A10" s="11">
        <v>8</v>
      </c>
      <c r="B10">
        <v>2</v>
      </c>
      <c r="C10" t="s">
        <v>165</v>
      </c>
      <c r="D10" t="s">
        <v>159</v>
      </c>
      <c r="E10" t="s">
        <v>167</v>
      </c>
      <c r="F10" t="s">
        <v>166</v>
      </c>
      <c r="G10">
        <v>1210</v>
      </c>
    </row>
    <row r="11" spans="1:7" x14ac:dyDescent="0.35">
      <c r="A11">
        <v>9</v>
      </c>
      <c r="B11" s="2">
        <v>0</v>
      </c>
      <c r="C11" s="2"/>
      <c r="D11" s="2" t="s">
        <v>128</v>
      </c>
      <c r="E11" s="2"/>
      <c r="F11" s="2"/>
      <c r="G11" s="2"/>
    </row>
    <row r="12" spans="1:7" x14ac:dyDescent="0.35">
      <c r="A12" s="11">
        <v>10</v>
      </c>
      <c r="B12" s="8">
        <v>4</v>
      </c>
      <c r="C12" s="8" t="s">
        <v>11</v>
      </c>
      <c r="D12" s="8" t="s">
        <v>119</v>
      </c>
      <c r="E12" s="8" t="s">
        <v>82</v>
      </c>
      <c r="F12" s="8" t="s">
        <v>89</v>
      </c>
      <c r="G12" s="8">
        <v>603</v>
      </c>
    </row>
    <row r="13" spans="1:7" x14ac:dyDescent="0.35">
      <c r="A13">
        <v>11</v>
      </c>
      <c r="B13" s="8">
        <v>1</v>
      </c>
      <c r="C13" s="8" t="s">
        <v>183</v>
      </c>
      <c r="D13" s="8" t="s">
        <v>10</v>
      </c>
      <c r="E13" s="8" t="s">
        <v>81</v>
      </c>
      <c r="F13" s="8" t="s">
        <v>184</v>
      </c>
      <c r="G13" s="8">
        <v>805</v>
      </c>
    </row>
    <row r="14" spans="1:7" x14ac:dyDescent="0.35">
      <c r="A14" s="11">
        <v>12</v>
      </c>
      <c r="B14" s="8">
        <v>1</v>
      </c>
      <c r="C14" s="8" t="s">
        <v>12</v>
      </c>
      <c r="D14" s="8" t="s">
        <v>23</v>
      </c>
      <c r="E14" s="8" t="s">
        <v>81</v>
      </c>
      <c r="F14" s="8" t="s">
        <v>88</v>
      </c>
      <c r="G14" s="8">
        <v>805</v>
      </c>
    </row>
    <row r="15" spans="1:7" x14ac:dyDescent="0.35">
      <c r="A15">
        <v>13</v>
      </c>
      <c r="B15" s="8">
        <v>3</v>
      </c>
      <c r="C15" s="8" t="s">
        <v>61</v>
      </c>
      <c r="D15" s="8" t="s">
        <v>127</v>
      </c>
      <c r="E15" s="8" t="s">
        <v>86</v>
      </c>
      <c r="F15" s="8" t="s">
        <v>87</v>
      </c>
      <c r="G15" s="8">
        <v>603</v>
      </c>
    </row>
    <row r="16" spans="1:7" s="14" customFormat="1" x14ac:dyDescent="0.35">
      <c r="A16" s="11">
        <v>14</v>
      </c>
      <c r="B16" s="11">
        <v>2</v>
      </c>
      <c r="C16" s="11" t="s">
        <v>62</v>
      </c>
      <c r="D16" s="11" t="s">
        <v>111</v>
      </c>
      <c r="E16" s="11" t="s">
        <v>82</v>
      </c>
      <c r="F16" s="11" t="s">
        <v>90</v>
      </c>
      <c r="G16" s="11">
        <v>603</v>
      </c>
    </row>
    <row r="17" spans="1:7" x14ac:dyDescent="0.35">
      <c r="A17">
        <v>15</v>
      </c>
      <c r="B17">
        <v>2</v>
      </c>
      <c r="C17" t="s">
        <v>139</v>
      </c>
      <c r="D17" t="s">
        <v>188</v>
      </c>
      <c r="E17" t="s">
        <v>93</v>
      </c>
      <c r="F17" t="s">
        <v>141</v>
      </c>
      <c r="G17">
        <v>603</v>
      </c>
    </row>
    <row r="18" spans="1:7" x14ac:dyDescent="0.35">
      <c r="A18" s="11">
        <v>16</v>
      </c>
      <c r="B18">
        <v>2</v>
      </c>
      <c r="C18" t="s">
        <v>140</v>
      </c>
      <c r="D18" t="s">
        <v>189</v>
      </c>
      <c r="E18" t="s">
        <v>93</v>
      </c>
      <c r="F18" t="s">
        <v>138</v>
      </c>
      <c r="G18">
        <v>603</v>
      </c>
    </row>
    <row r="19" spans="1:7" x14ac:dyDescent="0.35">
      <c r="A19">
        <v>17</v>
      </c>
      <c r="B19" s="8">
        <v>1</v>
      </c>
      <c r="C19" s="8" t="s">
        <v>73</v>
      </c>
      <c r="D19" s="8" t="s">
        <v>70</v>
      </c>
      <c r="E19" s="8" t="s">
        <v>86</v>
      </c>
      <c r="F19" s="8" t="s">
        <v>106</v>
      </c>
      <c r="G19" s="8">
        <v>603</v>
      </c>
    </row>
    <row r="20" spans="1:7" s="14" customFormat="1" x14ac:dyDescent="0.35">
      <c r="A20" s="11">
        <v>18</v>
      </c>
      <c r="B20" s="11">
        <v>4</v>
      </c>
      <c r="C20" s="11" t="s">
        <v>63</v>
      </c>
      <c r="D20" s="11" t="s">
        <v>112</v>
      </c>
      <c r="E20" s="11" t="s">
        <v>82</v>
      </c>
      <c r="F20" s="11" t="s">
        <v>91</v>
      </c>
      <c r="G20" s="11">
        <v>603</v>
      </c>
    </row>
    <row r="21" spans="1:7" s="14" customFormat="1" x14ac:dyDescent="0.35">
      <c r="A21">
        <v>19</v>
      </c>
      <c r="B21" s="11">
        <v>3</v>
      </c>
      <c r="C21" s="11" t="s">
        <v>64</v>
      </c>
      <c r="D21" s="11" t="s">
        <v>118</v>
      </c>
      <c r="E21" s="11" t="s">
        <v>82</v>
      </c>
      <c r="F21" s="11" t="s">
        <v>92</v>
      </c>
      <c r="G21" s="11">
        <v>603</v>
      </c>
    </row>
    <row r="22" spans="1:7" x14ac:dyDescent="0.35">
      <c r="A22" s="11">
        <v>20</v>
      </c>
      <c r="B22">
        <v>1</v>
      </c>
      <c r="C22" t="s">
        <v>175</v>
      </c>
      <c r="D22" t="s">
        <v>65</v>
      </c>
      <c r="E22" t="s">
        <v>93</v>
      </c>
      <c r="F22" t="s">
        <v>178</v>
      </c>
      <c r="G22">
        <v>603</v>
      </c>
    </row>
    <row r="23" spans="1:7" x14ac:dyDescent="0.35">
      <c r="A23">
        <v>21</v>
      </c>
      <c r="B23">
        <v>1</v>
      </c>
      <c r="C23" t="s">
        <v>174</v>
      </c>
      <c r="D23" t="s">
        <v>171</v>
      </c>
      <c r="E23" t="s">
        <v>93</v>
      </c>
      <c r="F23" t="s">
        <v>176</v>
      </c>
      <c r="G23">
        <v>603</v>
      </c>
    </row>
    <row r="24" spans="1:7" x14ac:dyDescent="0.35">
      <c r="A24" s="11">
        <v>22</v>
      </c>
      <c r="B24">
        <v>3</v>
      </c>
      <c r="C24" t="s">
        <v>22</v>
      </c>
      <c r="D24" t="s">
        <v>117</v>
      </c>
      <c r="E24" t="s">
        <v>81</v>
      </c>
      <c r="F24" t="s">
        <v>113</v>
      </c>
      <c r="G24">
        <v>805</v>
      </c>
    </row>
    <row r="25" spans="1:7" x14ac:dyDescent="0.35">
      <c r="A25">
        <v>23</v>
      </c>
      <c r="B25">
        <v>1</v>
      </c>
      <c r="C25" t="s">
        <v>170</v>
      </c>
      <c r="D25" t="s">
        <v>66</v>
      </c>
      <c r="E25" t="s">
        <v>93</v>
      </c>
      <c r="F25" t="s">
        <v>179</v>
      </c>
      <c r="G25">
        <v>603</v>
      </c>
    </row>
    <row r="26" spans="1:7" x14ac:dyDescent="0.35">
      <c r="A26" s="11">
        <v>24</v>
      </c>
      <c r="B26">
        <v>1</v>
      </c>
      <c r="C26" t="s">
        <v>168</v>
      </c>
      <c r="D26" t="s">
        <v>169</v>
      </c>
      <c r="E26" t="s">
        <v>93</v>
      </c>
      <c r="F26" t="s">
        <v>177</v>
      </c>
      <c r="G26">
        <v>603</v>
      </c>
    </row>
    <row r="27" spans="1:7" x14ac:dyDescent="0.35">
      <c r="A27">
        <v>25</v>
      </c>
      <c r="B27">
        <v>1</v>
      </c>
      <c r="C27" t="s">
        <v>173</v>
      </c>
      <c r="D27" t="s">
        <v>68</v>
      </c>
      <c r="E27" t="s">
        <v>93</v>
      </c>
      <c r="F27" t="s">
        <v>180</v>
      </c>
      <c r="G27">
        <v>603</v>
      </c>
    </row>
    <row r="28" spans="1:7" x14ac:dyDescent="0.35">
      <c r="A28" s="11">
        <v>26</v>
      </c>
      <c r="B28">
        <v>1</v>
      </c>
      <c r="C28" t="s">
        <v>182</v>
      </c>
      <c r="D28" t="s">
        <v>172</v>
      </c>
      <c r="E28" t="s">
        <v>93</v>
      </c>
      <c r="F28" t="s">
        <v>181</v>
      </c>
      <c r="G28">
        <v>603</v>
      </c>
    </row>
    <row r="29" spans="1:7" x14ac:dyDescent="0.35">
      <c r="A29">
        <v>27</v>
      </c>
      <c r="B29" s="2">
        <v>0</v>
      </c>
      <c r="C29" s="2"/>
      <c r="D29" s="2" t="s">
        <v>142</v>
      </c>
      <c r="E29" s="2"/>
      <c r="F29" s="2"/>
      <c r="G29" s="2"/>
    </row>
    <row r="30" spans="1:7" x14ac:dyDescent="0.35">
      <c r="A30" s="11">
        <v>28</v>
      </c>
      <c r="B30">
        <v>1</v>
      </c>
      <c r="C30" t="s">
        <v>153</v>
      </c>
      <c r="D30" t="s">
        <v>8</v>
      </c>
      <c r="E30" t="s">
        <v>150</v>
      </c>
      <c r="F30" t="s">
        <v>149</v>
      </c>
      <c r="G30" t="s">
        <v>147</v>
      </c>
    </row>
    <row r="31" spans="1:7" x14ac:dyDescent="0.35">
      <c r="A31">
        <v>29</v>
      </c>
      <c r="B31">
        <v>1</v>
      </c>
      <c r="C31" t="s">
        <v>151</v>
      </c>
      <c r="D31" t="s">
        <v>9</v>
      </c>
      <c r="E31" t="s">
        <v>150</v>
      </c>
      <c r="F31" t="s">
        <v>148</v>
      </c>
      <c r="G31" t="s">
        <v>147</v>
      </c>
    </row>
    <row r="32" spans="1:7" x14ac:dyDescent="0.35">
      <c r="A32" s="11">
        <v>30</v>
      </c>
      <c r="B32">
        <v>1</v>
      </c>
      <c r="C32" t="s">
        <v>152</v>
      </c>
      <c r="D32" t="s">
        <v>69</v>
      </c>
      <c r="E32" t="s">
        <v>150</v>
      </c>
      <c r="F32" t="s">
        <v>146</v>
      </c>
      <c r="G32" t="s">
        <v>147</v>
      </c>
    </row>
    <row r="33" spans="1:7" x14ac:dyDescent="0.35">
      <c r="A33">
        <v>31</v>
      </c>
      <c r="B33" s="8">
        <v>1</v>
      </c>
      <c r="C33" s="8" t="s">
        <v>107</v>
      </c>
      <c r="D33" s="8" t="s">
        <v>53</v>
      </c>
      <c r="E33" s="8" t="s">
        <v>94</v>
      </c>
      <c r="F33" s="8" t="s">
        <v>15</v>
      </c>
      <c r="G33" s="8" t="s">
        <v>16</v>
      </c>
    </row>
    <row r="34" spans="1:7" x14ac:dyDescent="0.35">
      <c r="A34" s="11">
        <v>32</v>
      </c>
      <c r="B34" s="8">
        <v>1</v>
      </c>
      <c r="C34" s="8" t="s">
        <v>108</v>
      </c>
      <c r="D34" s="8" t="s">
        <v>120</v>
      </c>
      <c r="E34" s="8" t="s">
        <v>94</v>
      </c>
      <c r="F34" s="8" t="s">
        <v>18</v>
      </c>
      <c r="G34" s="8" t="s">
        <v>17</v>
      </c>
    </row>
    <row r="35" spans="1:7" x14ac:dyDescent="0.35">
      <c r="A35">
        <v>33</v>
      </c>
      <c r="B35">
        <v>3</v>
      </c>
      <c r="C35" t="s">
        <v>109</v>
      </c>
      <c r="D35" t="s">
        <v>115</v>
      </c>
      <c r="E35" t="s">
        <v>94</v>
      </c>
      <c r="F35" t="s">
        <v>144</v>
      </c>
      <c r="G35" t="s">
        <v>0</v>
      </c>
    </row>
    <row r="36" spans="1:7" x14ac:dyDescent="0.35">
      <c r="A36" s="11">
        <v>34</v>
      </c>
      <c r="B36" s="8">
        <v>1</v>
      </c>
      <c r="C36" s="8" t="s">
        <v>95</v>
      </c>
      <c r="D36" s="8" t="s">
        <v>13</v>
      </c>
      <c r="E36" s="8" t="s">
        <v>84</v>
      </c>
      <c r="F36" s="8" t="s">
        <v>31</v>
      </c>
      <c r="G36" s="8">
        <v>603</v>
      </c>
    </row>
    <row r="37" spans="1:7" x14ac:dyDescent="0.35">
      <c r="A37">
        <v>35</v>
      </c>
      <c r="B37" s="8">
        <v>1</v>
      </c>
      <c r="C37" s="8" t="s">
        <v>96</v>
      </c>
      <c r="D37" s="8" t="s">
        <v>14</v>
      </c>
      <c r="E37" s="8" t="s">
        <v>84</v>
      </c>
      <c r="F37" s="8" t="s">
        <v>32</v>
      </c>
      <c r="G37" s="8">
        <v>603</v>
      </c>
    </row>
    <row r="38" spans="1:7" x14ac:dyDescent="0.35">
      <c r="A38" s="11">
        <v>36</v>
      </c>
      <c r="B38" s="8">
        <v>4</v>
      </c>
      <c r="C38" s="8" t="s">
        <v>35</v>
      </c>
      <c r="D38" s="8" t="s">
        <v>121</v>
      </c>
      <c r="E38" s="8" t="s">
        <v>98</v>
      </c>
      <c r="F38" s="8" t="s">
        <v>97</v>
      </c>
      <c r="G38" s="8" t="s">
        <v>0</v>
      </c>
    </row>
    <row r="39" spans="1:7" x14ac:dyDescent="0.35">
      <c r="A39">
        <v>37</v>
      </c>
      <c r="B39">
        <v>3</v>
      </c>
      <c r="C39" t="s">
        <v>143</v>
      </c>
      <c r="D39" t="s">
        <v>154</v>
      </c>
      <c r="E39" t="s">
        <v>156</v>
      </c>
      <c r="F39" t="s">
        <v>157</v>
      </c>
      <c r="G39" t="s">
        <v>155</v>
      </c>
    </row>
    <row r="40" spans="1:7" x14ac:dyDescent="0.35">
      <c r="A40" s="11">
        <v>38</v>
      </c>
      <c r="B40" s="2">
        <v>0</v>
      </c>
      <c r="C40" s="2" t="s">
        <v>20</v>
      </c>
      <c r="D40" s="2" t="s">
        <v>126</v>
      </c>
      <c r="E40" s="2"/>
      <c r="F40" s="2" t="s">
        <v>19</v>
      </c>
      <c r="G40" s="2" t="s">
        <v>21</v>
      </c>
    </row>
    <row r="41" spans="1:7" x14ac:dyDescent="0.35">
      <c r="A41">
        <v>39</v>
      </c>
      <c r="B41" s="12">
        <v>0</v>
      </c>
      <c r="C41" s="12" t="s">
        <v>42</v>
      </c>
      <c r="D41" s="12" t="s">
        <v>122</v>
      </c>
      <c r="E41" s="12" t="s">
        <v>99</v>
      </c>
      <c r="F41" s="12" t="s">
        <v>41</v>
      </c>
      <c r="G41" s="12" t="s">
        <v>49</v>
      </c>
    </row>
    <row r="42" spans="1:7" x14ac:dyDescent="0.35">
      <c r="A42" s="11">
        <v>40</v>
      </c>
      <c r="B42">
        <v>4</v>
      </c>
      <c r="C42" t="s">
        <v>42</v>
      </c>
      <c r="D42" t="s">
        <v>122</v>
      </c>
      <c r="E42" t="s">
        <v>86</v>
      </c>
      <c r="F42" t="s">
        <v>129</v>
      </c>
      <c r="G42" t="s">
        <v>49</v>
      </c>
    </row>
    <row r="43" spans="1:7" x14ac:dyDescent="0.35">
      <c r="A43">
        <v>41</v>
      </c>
      <c r="B43" s="8">
        <v>1</v>
      </c>
      <c r="C43" s="8" t="s">
        <v>48</v>
      </c>
      <c r="D43" s="8" t="s">
        <v>56</v>
      </c>
      <c r="E43" s="8" t="s">
        <v>100</v>
      </c>
      <c r="F43" s="8" t="s">
        <v>47</v>
      </c>
      <c r="G43" s="8" t="s">
        <v>46</v>
      </c>
    </row>
    <row r="44" spans="1:7" x14ac:dyDescent="0.35">
      <c r="A44" s="11">
        <v>42</v>
      </c>
      <c r="B44" s="8">
        <v>1</v>
      </c>
      <c r="C44" s="8" t="s">
        <v>187</v>
      </c>
      <c r="D44" s="8" t="s">
        <v>185</v>
      </c>
      <c r="E44" s="8" t="s">
        <v>100</v>
      </c>
      <c r="F44" s="8" t="s">
        <v>186</v>
      </c>
      <c r="G44" s="8" t="s">
        <v>49</v>
      </c>
    </row>
    <row r="45" spans="1:7" x14ac:dyDescent="0.35">
      <c r="A45">
        <v>43</v>
      </c>
      <c r="B45" s="8">
        <v>3</v>
      </c>
      <c r="C45" s="8" t="s">
        <v>51</v>
      </c>
      <c r="D45" s="8" t="s">
        <v>114</v>
      </c>
      <c r="E45" s="8" t="s">
        <v>101</v>
      </c>
      <c r="F45" s="8" t="s">
        <v>50</v>
      </c>
      <c r="G45" s="8" t="s">
        <v>52</v>
      </c>
    </row>
    <row r="46" spans="1:7" x14ac:dyDescent="0.35">
      <c r="A46" s="11">
        <v>44</v>
      </c>
      <c r="B46" s="8">
        <v>1</v>
      </c>
      <c r="C46" s="8" t="s">
        <v>44</v>
      </c>
      <c r="D46" s="8" t="s">
        <v>55</v>
      </c>
      <c r="E46" s="8" t="s">
        <v>102</v>
      </c>
      <c r="F46" s="8" t="s">
        <v>43</v>
      </c>
      <c r="G46" s="8" t="s">
        <v>45</v>
      </c>
    </row>
    <row r="47" spans="1:7" x14ac:dyDescent="0.35">
      <c r="A47">
        <v>45</v>
      </c>
      <c r="B47" s="8">
        <v>1</v>
      </c>
      <c r="C47" s="8" t="s">
        <v>33</v>
      </c>
      <c r="D47" s="8" t="s">
        <v>54</v>
      </c>
      <c r="E47" s="8" t="s">
        <v>103</v>
      </c>
      <c r="F47" s="8" t="s">
        <v>34</v>
      </c>
      <c r="G47" s="8"/>
    </row>
    <row r="48" spans="1:7" x14ac:dyDescent="0.35">
      <c r="A48" s="11">
        <v>46</v>
      </c>
      <c r="B48" s="11">
        <v>1</v>
      </c>
      <c r="C48" s="11" t="s">
        <v>36</v>
      </c>
      <c r="D48" s="11" t="s">
        <v>124</v>
      </c>
      <c r="E48" s="11" t="s">
        <v>133</v>
      </c>
      <c r="F48" s="13" t="s">
        <v>134</v>
      </c>
      <c r="G48" s="11"/>
    </row>
    <row r="49" spans="1:7" x14ac:dyDescent="0.35">
      <c r="A49">
        <v>47</v>
      </c>
      <c r="B49" s="11">
        <v>1</v>
      </c>
      <c r="C49" s="11" t="s">
        <v>123</v>
      </c>
      <c r="D49" s="11" t="s">
        <v>125</v>
      </c>
      <c r="E49" s="11" t="s">
        <v>133</v>
      </c>
      <c r="F49" s="13" t="s">
        <v>136</v>
      </c>
      <c r="G49" s="11"/>
    </row>
    <row r="50" spans="1:7" x14ac:dyDescent="0.35">
      <c r="A50" s="11">
        <v>48</v>
      </c>
      <c r="B50" s="11">
        <v>1</v>
      </c>
      <c r="C50" s="11" t="s">
        <v>37</v>
      </c>
      <c r="D50" s="11" t="s">
        <v>57</v>
      </c>
      <c r="E50" s="11" t="s">
        <v>133</v>
      </c>
      <c r="F50" s="13" t="s">
        <v>135</v>
      </c>
      <c r="G50" s="11"/>
    </row>
    <row r="51" spans="1:7" x14ac:dyDescent="0.35">
      <c r="A51">
        <v>49</v>
      </c>
      <c r="B51" s="8">
        <v>1</v>
      </c>
      <c r="C51" s="8" t="s">
        <v>38</v>
      </c>
      <c r="D51" s="8" t="s">
        <v>58</v>
      </c>
      <c r="E51" s="8" t="s">
        <v>104</v>
      </c>
      <c r="F51" s="8" t="s">
        <v>39</v>
      </c>
      <c r="G51" s="8"/>
    </row>
    <row r="52" spans="1:7" x14ac:dyDescent="0.35">
      <c r="A52" s="11">
        <v>50</v>
      </c>
      <c r="B52" s="12">
        <v>0</v>
      </c>
      <c r="C52" s="8"/>
      <c r="D52" s="12" t="s">
        <v>137</v>
      </c>
      <c r="E52" s="12"/>
      <c r="F52" s="8"/>
      <c r="G52" s="8"/>
    </row>
    <row r="53" spans="1:7" x14ac:dyDescent="0.35">
      <c r="A53">
        <v>51</v>
      </c>
      <c r="B53" s="11">
        <v>1</v>
      </c>
      <c r="C53" s="11" t="s">
        <v>132</v>
      </c>
      <c r="D53" s="11" t="s">
        <v>110</v>
      </c>
      <c r="E53" s="11" t="s">
        <v>130</v>
      </c>
      <c r="F53" s="11" t="s">
        <v>131</v>
      </c>
      <c r="G53" s="11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2020-04-13T12:43:53Z</dcterms:created>
  <dcterms:modified xsi:type="dcterms:W3CDTF">2021-10-27T09:03:46Z</dcterms:modified>
</cp:coreProperties>
</file>